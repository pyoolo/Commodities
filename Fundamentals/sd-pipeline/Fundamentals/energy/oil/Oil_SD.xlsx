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Balance" sheetId="3" state="visible" r:id="rId3"/>
    <sheet xmlns:r="http://schemas.openxmlformats.org/officeDocument/2006/relationships" name="EIA_Data" sheetId="4" state="visible" r:id="rId4"/>
    <sheet xmlns:r="http://schemas.openxmlformats.org/officeDocument/2006/relationships" name="Agency_Check" sheetId="5" state="visible" r:id="rId5"/>
    <sheet xmlns:r="http://schemas.openxmlformats.org/officeDocument/2006/relationships" name="OPEC+" sheetId="6" state="visible" r:id="rId6"/>
    <sheet xmlns:r="http://schemas.openxmlformats.org/officeDocument/2006/relationships" name="Gulf_Flows" sheetId="7" state="visible" r:id="rId7"/>
    <sheet xmlns:r="http://schemas.openxmlformats.org/officeDocument/2006/relationships" name="US_Weekly" sheetId="8" state="visible" r:id="rId8"/>
    <sheet xmlns:r="http://schemas.openxmlformats.org/officeDocument/2006/relationships" name="Catalysts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0.0%;\(0.0%\);\-"/>
    <numFmt numFmtId="165" formatCode="0.0;\(0.0\);\-"/>
    <numFmt numFmtId="166" formatCode="0;\(0\);\-"/>
    <numFmt numFmtId="167" formatCode="0.00;\(0.00\);\-"/>
    <numFmt numFmtId="168" formatCode="#,##0;\(#,##0\);\-"/>
    <numFmt numFmtId="169" formatCode="\+0.0;\-0.0;0.0"/>
    <numFmt numFmtId="170" formatCode="0.000;\(0.000\);\-"/>
    <numFmt numFmtId="171" formatCode="#,##0&quot; €&quot;;\(#,##0&quot; €)&quot;;\-"/>
    <numFmt numFmtId="172" formatCode="0.00\x"/>
    <numFmt numFmtId="173" formatCode="0.0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color rgb="FF008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  <font>
      <name val="Arial"/>
      <family val="2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2" fontId="10" fillId="0" borderId="0" applyAlignment="1" pivotButton="0" quotePrefix="0" xfId="0">
      <alignment horizontal="general" vertical="bottom"/>
    </xf>
    <xf numFmtId="2" fontId="11" fillId="2" borderId="0" applyAlignment="1" pivotButton="0" quotePrefix="0" xfId="0">
      <alignment horizontal="general" vertical="bottom"/>
    </xf>
    <xf numFmtId="2" fontId="6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center" vertical="center" wrapText="1"/>
    </xf>
    <xf numFmtId="165" fontId="11" fillId="2" borderId="0" applyAlignment="1" pivotButton="0" quotePrefix="0" xfId="0">
      <alignment horizontal="general" vertical="bottom"/>
    </xf>
    <xf numFmtId="9" fontId="11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6" fontId="11" fillId="2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9" fontId="6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8" fontId="7" fillId="0" borderId="0" applyAlignment="1" pivotButton="0" quotePrefix="0" xfId="0">
      <alignment horizontal="general" vertical="bottom"/>
    </xf>
    <xf numFmtId="2" fontId="7" fillId="0" borderId="0" applyAlignment="1" pivotButton="0" quotePrefix="0" xfId="0">
      <alignment horizontal="general" vertical="bottom"/>
    </xf>
    <xf numFmtId="165" fontId="6" fillId="0" borderId="2" applyAlignment="1" pivotButton="0" quotePrefix="0" xfId="0">
      <alignment horizontal="general" vertical="bottom"/>
    </xf>
    <xf numFmtId="167" fontId="6" fillId="0" borderId="2" applyAlignment="1" pivotButton="0" quotePrefix="0" xfId="0">
      <alignment horizontal="general" vertical="bottom"/>
    </xf>
    <xf numFmtId="168" fontId="6" fillId="0" borderId="2" applyAlignment="1" pivotButton="0" quotePrefix="0" xfId="0">
      <alignment horizontal="general" vertical="bottom"/>
    </xf>
    <xf numFmtId="2" fontId="6" fillId="0" borderId="2" applyAlignment="1" pivotButton="0" quotePrefix="0" xfId="0">
      <alignment horizontal="general" vertical="bottom"/>
    </xf>
    <xf numFmtId="1" fontId="11" fillId="2" borderId="0" applyAlignment="1" pivotButton="0" quotePrefix="0" xfId="0">
      <alignment horizontal="general" vertical="bottom"/>
    </xf>
    <xf numFmtId="169" fontId="8" fillId="4" borderId="0" applyAlignment="1" pivotButton="0" quotePrefix="0" xfId="0">
      <alignment horizontal="general" vertical="bottom"/>
    </xf>
    <xf numFmtId="169" fontId="6" fillId="4" borderId="0" applyAlignment="1" pivotButton="0" quotePrefix="0" xfId="0">
      <alignment horizontal="general" vertical="bottom"/>
    </xf>
    <xf numFmtId="167" fontId="10" fillId="0" borderId="0" applyAlignment="1" pivotButton="0" quotePrefix="0" xfId="0">
      <alignment horizontal="general" vertical="bottom"/>
    </xf>
    <xf numFmtId="167" fontId="10" fillId="3" borderId="0" applyAlignment="1" pivotButton="0" quotePrefix="0" xfId="0">
      <alignment horizontal="general" vertical="bottom"/>
    </xf>
    <xf numFmtId="167" fontId="10" fillId="6" borderId="0" applyAlignment="1" pivotButton="0" quotePrefix="0" xfId="0">
      <alignment horizontal="general" vertical="bottom"/>
    </xf>
    <xf numFmtId="167" fontId="6" fillId="3" borderId="2" applyAlignment="1" pivotButton="0" quotePrefix="0" xfId="0">
      <alignment horizontal="general" vertical="bottom"/>
    </xf>
    <xf numFmtId="167" fontId="6" fillId="6" borderId="2" applyAlignment="1" pivotButton="0" quotePrefix="0" xfId="0">
      <alignment horizontal="general" vertical="bottom"/>
    </xf>
    <xf numFmtId="167" fontId="7" fillId="3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167" fontId="7" fillId="6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7" fillId="3" borderId="0" applyAlignment="1" pivotButton="0" quotePrefix="0" xfId="0">
      <alignment horizontal="general" vertical="bottom"/>
    </xf>
    <xf numFmtId="164" fontId="7" fillId="6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167" fontId="9" fillId="0" borderId="0" applyAlignment="1" pivotButton="0" quotePrefix="0" xfId="0">
      <alignment horizontal="general" vertical="bottom"/>
    </xf>
    <xf numFmtId="167" fontId="9" fillId="3" borderId="0" applyAlignment="1" pivotButton="0" quotePrefix="0" xfId="0">
      <alignment horizontal="general" vertical="bottom"/>
    </xf>
    <xf numFmtId="167" fontId="9" fillId="6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67" fontId="6" fillId="3" borderId="0" applyAlignment="1" pivotButton="0" quotePrefix="0" xfId="0">
      <alignment horizontal="general" vertical="bottom"/>
    </xf>
    <xf numFmtId="167" fontId="6" fillId="6" borderId="0" applyAlignment="1" pivotButton="0" quotePrefix="0" xfId="0">
      <alignment horizontal="general" vertical="bottom"/>
    </xf>
    <xf numFmtId="1" fontId="11" fillId="0" borderId="0" applyAlignment="1" pivotButton="0" quotePrefix="0" xfId="0">
      <alignment horizontal="general" vertical="bottom"/>
    </xf>
    <xf numFmtId="1" fontId="11" fillId="3" borderId="0" applyAlignment="1" pivotButton="0" quotePrefix="0" xfId="0">
      <alignment horizontal="general" vertical="bottom"/>
    </xf>
    <xf numFmtId="1" fontId="11" fillId="6" borderId="0" applyAlignment="1" pivotButton="0" quotePrefix="0" xfId="0">
      <alignment horizontal="general" vertical="bottom"/>
    </xf>
    <xf numFmtId="168" fontId="7" fillId="3" borderId="0" applyAlignment="1" pivotButton="0" quotePrefix="0" xfId="0">
      <alignment horizontal="general" vertical="bottom"/>
    </xf>
    <xf numFmtId="168" fontId="7" fillId="6" borderId="0" applyAlignment="1" pivotButton="0" quotePrefix="0" xfId="0">
      <alignment horizontal="general" vertical="bottom"/>
    </xf>
    <xf numFmtId="168" fontId="10" fillId="0" borderId="0" applyAlignment="1" pivotButton="0" quotePrefix="0" xfId="0">
      <alignment horizontal="general" vertical="bottom"/>
    </xf>
    <xf numFmtId="168" fontId="10" fillId="3" borderId="0" applyAlignment="1" pivotButton="0" quotePrefix="0" xfId="0">
      <alignment horizontal="general" vertical="bottom"/>
    </xf>
    <xf numFmtId="168" fontId="10" fillId="6" borderId="0" applyAlignment="1" pivotButton="0" quotePrefix="0" xfId="0">
      <alignment horizontal="general" vertical="bottom"/>
    </xf>
    <xf numFmtId="168" fontId="6" fillId="0" borderId="0" applyAlignment="1" pivotButton="0" quotePrefix="0" xfId="0">
      <alignment horizontal="general" vertical="bottom"/>
    </xf>
    <xf numFmtId="168" fontId="6" fillId="3" borderId="0" applyAlignment="1" pivotButton="0" quotePrefix="0" xfId="0">
      <alignment horizontal="general" vertical="bottom"/>
    </xf>
    <xf numFmtId="168" fontId="6" fillId="6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7" fillId="3" borderId="0" applyAlignment="1" pivotButton="0" quotePrefix="0" xfId="0">
      <alignment horizontal="center" vertical="bottom"/>
    </xf>
    <xf numFmtId="0" fontId="7" fillId="6" borderId="0" applyAlignment="1" pivotButton="0" quotePrefix="0" xfId="0">
      <alignment horizontal="center" vertical="bottom"/>
    </xf>
    <xf numFmtId="2" fontId="10" fillId="3" borderId="0" applyAlignment="1" pivotButton="0" quotePrefix="0" xfId="0">
      <alignment horizontal="general" vertical="bottom"/>
    </xf>
    <xf numFmtId="2" fontId="10" fillId="6" borderId="0" applyAlignment="1" pivotButton="0" quotePrefix="0" xfId="0">
      <alignment horizontal="general" vertical="bottom"/>
    </xf>
    <xf numFmtId="166" fontId="10" fillId="3" borderId="0" applyAlignment="1" pivotButton="0" quotePrefix="0" xfId="0">
      <alignment horizontal="general" vertical="bottom"/>
    </xf>
    <xf numFmtId="166" fontId="7" fillId="6" borderId="0" applyAlignment="1" pivotButton="0" quotePrefix="0" xfId="0">
      <alignment horizontal="general" vertical="bottom"/>
    </xf>
    <xf numFmtId="2" fontId="6" fillId="3" borderId="0" applyAlignment="1" pivotButton="0" quotePrefix="0" xfId="0">
      <alignment horizontal="general" vertical="bottom"/>
    </xf>
    <xf numFmtId="2" fontId="6" fillId="6" borderId="0" applyAlignment="1" pivotButton="0" quotePrefix="0" xfId="0">
      <alignment horizontal="general" vertical="bottom"/>
    </xf>
    <xf numFmtId="1" fontId="6" fillId="0" borderId="0" applyAlignment="1" pivotButton="0" quotePrefix="0" xfId="0">
      <alignment horizontal="general" vertical="bottom"/>
    </xf>
    <xf numFmtId="167" fontId="11" fillId="0" borderId="0" applyAlignment="1" pivotButton="0" quotePrefix="0" xfId="0">
      <alignment horizontal="general" vertical="bottom"/>
    </xf>
    <xf numFmtId="167" fontId="11" fillId="3" borderId="0" applyAlignment="1" pivotButton="0" quotePrefix="0" xfId="0">
      <alignment horizontal="general" vertical="bottom"/>
    </xf>
    <xf numFmtId="168" fontId="11" fillId="0" borderId="0" applyAlignment="1" pivotButton="0" quotePrefix="0" xfId="0">
      <alignment horizontal="general" vertical="bottom"/>
    </xf>
    <xf numFmtId="168" fontId="11" fillId="3" borderId="0" applyAlignment="1" pivotButton="0" quotePrefix="0" xfId="0">
      <alignment horizontal="general" vertical="bottom"/>
    </xf>
    <xf numFmtId="2" fontId="11" fillId="0" borderId="0" applyAlignment="1" pivotButton="0" quotePrefix="0" xfId="0">
      <alignment horizontal="general" vertical="bottom"/>
    </xf>
    <xf numFmtId="2" fontId="11" fillId="3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7" fontId="11" fillId="2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170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4" fontId="11" fillId="0" borderId="0" applyAlignment="1" pivotButton="0" quotePrefix="0" xfId="0">
      <alignment horizontal="general" vertical="bottom"/>
    </xf>
    <xf numFmtId="10" fontId="11" fillId="0" borderId="0" applyAlignment="1" pivotButton="0" quotePrefix="0" xfId="0">
      <alignment horizontal="general" vertical="bottom"/>
    </xf>
    <xf numFmtId="4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71" fontId="6" fillId="0" borderId="0" applyAlignment="1" pivotButton="0" quotePrefix="0" xfId="0">
      <alignment horizontal="general" vertical="bottom"/>
    </xf>
    <xf numFmtId="171" fontId="7" fillId="0" borderId="0" applyAlignment="1" pivotButton="0" quotePrefix="0" xfId="0">
      <alignment horizontal="general" vertical="bottom"/>
    </xf>
    <xf numFmtId="172" fontId="7" fillId="0" borderId="0" applyAlignment="1" pivotButton="0" quotePrefix="0" xfId="0">
      <alignment horizontal="general" vertical="bottom"/>
    </xf>
    <xf numFmtId="173" fontId="11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9" fontId="10" fillId="0" borderId="0" applyAlignment="1" pivotButton="0" quotePrefix="0" xfId="0">
      <alignment horizontal="general" vertical="bottom"/>
    </xf>
    <xf numFmtId="9" fontId="9" fillId="0" borderId="0" applyAlignment="1" pivotButton="0" quotePrefix="0" xfId="0">
      <alignment horizontal="general" vertical="bottom"/>
    </xf>
    <xf numFmtId="2" fontId="9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2" fontId="10" fillId="0" borderId="0" applyAlignment="1" pivotButton="0" quotePrefix="0" xfId="0">
      <alignment horizontal="general" vertical="bottom"/>
    </xf>
    <xf numFmtId="2" fontId="11" fillId="2" borderId="0" applyAlignment="1" pivotButton="0" quotePrefix="0" xfId="0">
      <alignment horizontal="general" vertical="bottom"/>
    </xf>
    <xf numFmtId="2" fontId="6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center" vertical="center" wrapText="1"/>
    </xf>
    <xf numFmtId="165" fontId="11" fillId="2" borderId="0" applyAlignment="1" pivotButton="0" quotePrefix="0" xfId="0">
      <alignment horizontal="general" vertical="bottom"/>
    </xf>
    <xf numFmtId="9" fontId="11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6" fontId="11" fillId="2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9" fontId="6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8" fontId="7" fillId="0" borderId="0" applyAlignment="1" pivotButton="0" quotePrefix="0" xfId="0">
      <alignment horizontal="general" vertical="bottom"/>
    </xf>
    <xf numFmtId="2" fontId="7" fillId="0" borderId="0" applyAlignment="1" pivotButton="0" quotePrefix="0" xfId="0">
      <alignment horizontal="general" vertical="bottom"/>
    </xf>
    <xf numFmtId="165" fontId="6" fillId="0" borderId="2" applyAlignment="1" pivotButton="0" quotePrefix="0" xfId="0">
      <alignment horizontal="general" vertical="bottom"/>
    </xf>
    <xf numFmtId="167" fontId="6" fillId="0" borderId="2" applyAlignment="1" pivotButton="0" quotePrefix="0" xfId="0">
      <alignment horizontal="general" vertical="bottom"/>
    </xf>
    <xf numFmtId="168" fontId="6" fillId="0" borderId="2" applyAlignment="1" pivotButton="0" quotePrefix="0" xfId="0">
      <alignment horizontal="general" vertical="bottom"/>
    </xf>
    <xf numFmtId="2" fontId="6" fillId="0" borderId="2" applyAlignment="1" pivotButton="0" quotePrefix="0" xfId="0">
      <alignment horizontal="general" vertical="bottom"/>
    </xf>
    <xf numFmtId="1" fontId="11" fillId="2" borderId="0" applyAlignment="1" pivotButton="0" quotePrefix="0" xfId="0">
      <alignment horizontal="general" vertical="bottom"/>
    </xf>
    <xf numFmtId="169" fontId="8" fillId="4" borderId="0" applyAlignment="1" pivotButton="0" quotePrefix="0" xfId="0">
      <alignment horizontal="general" vertical="bottom"/>
    </xf>
    <xf numFmtId="169" fontId="6" fillId="4" borderId="0" applyAlignment="1" pivotButton="0" quotePrefix="0" xfId="0">
      <alignment horizontal="general" vertical="bottom"/>
    </xf>
    <xf numFmtId="167" fontId="10" fillId="0" borderId="0" applyAlignment="1" pivotButton="0" quotePrefix="0" xfId="0">
      <alignment horizontal="general" vertical="bottom"/>
    </xf>
    <xf numFmtId="167" fontId="10" fillId="3" borderId="0" applyAlignment="1" pivotButton="0" quotePrefix="0" xfId="0">
      <alignment horizontal="general" vertical="bottom"/>
    </xf>
    <xf numFmtId="167" fontId="10" fillId="6" borderId="0" applyAlignment="1" pivotButton="0" quotePrefix="0" xfId="0">
      <alignment horizontal="general" vertical="bottom"/>
    </xf>
    <xf numFmtId="167" fontId="6" fillId="3" borderId="2" applyAlignment="1" pivotButton="0" quotePrefix="0" xfId="0">
      <alignment horizontal="general" vertical="bottom"/>
    </xf>
    <xf numFmtId="167" fontId="6" fillId="6" borderId="2" applyAlignment="1" pivotButton="0" quotePrefix="0" xfId="0">
      <alignment horizontal="general" vertical="bottom"/>
    </xf>
    <xf numFmtId="167" fontId="7" fillId="3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167" fontId="7" fillId="6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7" fillId="3" borderId="0" applyAlignment="1" pivotButton="0" quotePrefix="0" xfId="0">
      <alignment horizontal="general" vertical="bottom"/>
    </xf>
    <xf numFmtId="164" fontId="7" fillId="6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167" fontId="9" fillId="0" borderId="0" applyAlignment="1" pivotButton="0" quotePrefix="0" xfId="0">
      <alignment horizontal="general" vertical="bottom"/>
    </xf>
    <xf numFmtId="167" fontId="9" fillId="3" borderId="0" applyAlignment="1" pivotButton="0" quotePrefix="0" xfId="0">
      <alignment horizontal="general" vertical="bottom"/>
    </xf>
    <xf numFmtId="167" fontId="9" fillId="6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67" fontId="6" fillId="3" borderId="0" applyAlignment="1" pivotButton="0" quotePrefix="0" xfId="0">
      <alignment horizontal="general" vertical="bottom"/>
    </xf>
    <xf numFmtId="167" fontId="6" fillId="6" borderId="0" applyAlignment="1" pivotButton="0" quotePrefix="0" xfId="0">
      <alignment horizontal="general" vertical="bottom"/>
    </xf>
    <xf numFmtId="1" fontId="11" fillId="0" borderId="0" applyAlignment="1" pivotButton="0" quotePrefix="0" xfId="0">
      <alignment horizontal="general" vertical="bottom"/>
    </xf>
    <xf numFmtId="1" fontId="11" fillId="3" borderId="0" applyAlignment="1" pivotButton="0" quotePrefix="0" xfId="0">
      <alignment horizontal="general" vertical="bottom"/>
    </xf>
    <xf numFmtId="1" fontId="11" fillId="6" borderId="0" applyAlignment="1" pivotButton="0" quotePrefix="0" xfId="0">
      <alignment horizontal="general" vertical="bottom"/>
    </xf>
    <xf numFmtId="168" fontId="7" fillId="3" borderId="0" applyAlignment="1" pivotButton="0" quotePrefix="0" xfId="0">
      <alignment horizontal="general" vertical="bottom"/>
    </xf>
    <xf numFmtId="168" fontId="7" fillId="6" borderId="0" applyAlignment="1" pivotButton="0" quotePrefix="0" xfId="0">
      <alignment horizontal="general" vertical="bottom"/>
    </xf>
    <xf numFmtId="168" fontId="10" fillId="0" borderId="0" applyAlignment="1" pivotButton="0" quotePrefix="0" xfId="0">
      <alignment horizontal="general" vertical="bottom"/>
    </xf>
    <xf numFmtId="168" fontId="10" fillId="3" borderId="0" applyAlignment="1" pivotButton="0" quotePrefix="0" xfId="0">
      <alignment horizontal="general" vertical="bottom"/>
    </xf>
    <xf numFmtId="168" fontId="10" fillId="6" borderId="0" applyAlignment="1" pivotButton="0" quotePrefix="0" xfId="0">
      <alignment horizontal="general" vertical="bottom"/>
    </xf>
    <xf numFmtId="168" fontId="6" fillId="0" borderId="0" applyAlignment="1" pivotButton="0" quotePrefix="0" xfId="0">
      <alignment horizontal="general" vertical="bottom"/>
    </xf>
    <xf numFmtId="168" fontId="6" fillId="3" borderId="0" applyAlignment="1" pivotButton="0" quotePrefix="0" xfId="0">
      <alignment horizontal="general" vertical="bottom"/>
    </xf>
    <xf numFmtId="168" fontId="6" fillId="6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7" fillId="3" borderId="0" applyAlignment="1" pivotButton="0" quotePrefix="0" xfId="0">
      <alignment horizontal="center" vertical="bottom"/>
    </xf>
    <xf numFmtId="0" fontId="7" fillId="6" borderId="0" applyAlignment="1" pivotButton="0" quotePrefix="0" xfId="0">
      <alignment horizontal="center" vertical="bottom"/>
    </xf>
    <xf numFmtId="2" fontId="10" fillId="3" borderId="0" applyAlignment="1" pivotButton="0" quotePrefix="0" xfId="0">
      <alignment horizontal="general" vertical="bottom"/>
    </xf>
    <xf numFmtId="2" fontId="10" fillId="6" borderId="0" applyAlignment="1" pivotButton="0" quotePrefix="0" xfId="0">
      <alignment horizontal="general" vertical="bottom"/>
    </xf>
    <xf numFmtId="166" fontId="10" fillId="3" borderId="0" applyAlignment="1" pivotButton="0" quotePrefix="0" xfId="0">
      <alignment horizontal="general" vertical="bottom"/>
    </xf>
    <xf numFmtId="166" fontId="7" fillId="6" borderId="0" applyAlignment="1" pivotButton="0" quotePrefix="0" xfId="0">
      <alignment horizontal="general" vertical="bottom"/>
    </xf>
    <xf numFmtId="2" fontId="6" fillId="3" borderId="0" applyAlignment="1" pivotButton="0" quotePrefix="0" xfId="0">
      <alignment horizontal="general" vertical="bottom"/>
    </xf>
    <xf numFmtId="2" fontId="6" fillId="6" borderId="0" applyAlignment="1" pivotButton="0" quotePrefix="0" xfId="0">
      <alignment horizontal="general" vertical="bottom"/>
    </xf>
    <xf numFmtId="1" fontId="6" fillId="0" borderId="0" applyAlignment="1" pivotButton="0" quotePrefix="0" xfId="0">
      <alignment horizontal="general" vertical="bottom"/>
    </xf>
    <xf numFmtId="167" fontId="11" fillId="0" borderId="0" applyAlignment="1" pivotButton="0" quotePrefix="0" xfId="0">
      <alignment horizontal="general" vertical="bottom"/>
    </xf>
    <xf numFmtId="167" fontId="11" fillId="3" borderId="0" applyAlignment="1" pivotButton="0" quotePrefix="0" xfId="0">
      <alignment horizontal="general" vertical="bottom"/>
    </xf>
    <xf numFmtId="168" fontId="11" fillId="0" borderId="0" applyAlignment="1" pivotButton="0" quotePrefix="0" xfId="0">
      <alignment horizontal="general" vertical="bottom"/>
    </xf>
    <xf numFmtId="168" fontId="11" fillId="3" borderId="0" applyAlignment="1" pivotButton="0" quotePrefix="0" xfId="0">
      <alignment horizontal="general" vertical="bottom"/>
    </xf>
    <xf numFmtId="2" fontId="11" fillId="0" borderId="0" applyAlignment="1" pivotButton="0" quotePrefix="0" xfId="0">
      <alignment horizontal="general" vertical="bottom"/>
    </xf>
    <xf numFmtId="2" fontId="11" fillId="3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7" fontId="11" fillId="2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170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0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name val="Arial"/>
        <charset val="1"/>
        <family val="0"/>
        <b val="1"/>
        <color rgb="FFC00000"/>
        <sz val="10"/>
      </font>
    </dxf>
    <dxf>
      <font>
        <name val="Arial"/>
        <charset val="1"/>
        <family val="0"/>
        <b val="1"/>
        <color rgb="FF008000"/>
        <sz val="10"/>
      </font>
    </dxf>
    <dxf>
      <font>
        <name val="Arial"/>
        <charset val="1"/>
        <family val="0"/>
        <color rgb="FFC00000"/>
        <sz val="10"/>
      </font>
    </dxf>
    <dxf>
      <font>
        <name val="Arial"/>
        <charset val="1"/>
        <family val="0"/>
        <color rgb="FF008000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EA9DB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Unknown Author</author>
  </authors>
  <commentList>
    <comment ref="B8" authorId="0" shapeId="0">
      <text>
        <t>Enter the Oct 15 EIA number here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tabColor rgb="FF808080"/>
    <outlinePr summaryBelow="1" summaryRight="1"/>
    <pageSetUpPr fitToPage="0"/>
  </sheetPr>
  <dimension ref="A1:B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04" min="1" max="1"/>
    <col width="115" customWidth="1" style="104" min="2" max="2"/>
  </cols>
  <sheetData>
    <row r="1" ht="17.25" customHeight="1" s="105">
      <c r="A1" s="106" t="inlineStr">
        <is>
          <t>Oil – Global Supply &amp; Demand with scenario analysis</t>
        </is>
      </c>
    </row>
    <row r="2" ht="15" customHeight="1" s="105">
      <c r="A2" s="107" t="inlineStr">
        <is>
          <t>Updated October 14, 2026 · data: EIA Short-Term Energy Outlook October 2026 (tables 2 and 3a), IEA OMR October 2026</t>
        </is>
      </c>
    </row>
    <row r="4" ht="15" customHeight="1" s="105">
      <c r="A4" s="108" t="inlineStr">
        <is>
          <t>Sheets</t>
        </is>
      </c>
      <c r="B4" s="109" t="n"/>
    </row>
    <row r="5" ht="15" customHeight="1" s="105">
      <c r="A5" s="108" t="inlineStr">
        <is>
          <t>Scenarios</t>
        </is>
      </c>
      <c r="B5" s="109" t="inlineStr">
        <is>
          <t>CONTROL PANEL: pick the active scenario, edit levers and probabilities, compare scenarios, sensitivity grid</t>
        </is>
      </c>
    </row>
    <row r="6" ht="15" customHeight="1" s="105">
      <c r="A6" s="108" t="inlineStr">
        <is>
          <t>Balance</t>
        </is>
      </c>
      <c r="B6" s="109" t="inlineStr">
        <is>
          <t>Quarterly balance 25Q1–27Q4: OPEC/non-OPEC supply, OECD/non-OECD demand, balance, inventories, price – EIA base + active scenario</t>
        </is>
      </c>
    </row>
    <row r="7" ht="15" customHeight="1" s="105">
      <c r="A7" s="108" t="inlineStr">
        <is>
          <t>EIA_Data</t>
        </is>
      </c>
      <c r="B7" s="109" t="inlineStr">
        <is>
          <t>Raw EIA STEO Oct-2026 data copied from the official tables (no estimates)</t>
        </is>
      </c>
    </row>
    <row r="8" ht="15" customHeight="1" s="105">
      <c r="A8" s="108" t="inlineStr">
        <is>
          <t>Agency_Check</t>
        </is>
      </c>
      <c r="B8" s="109" t="inlineStr">
        <is>
          <t>EIA vs IEA vs OPEC on annual figures</t>
        </is>
      </c>
    </row>
    <row r="9" ht="15" customHeight="1" s="105">
      <c r="A9" s="108" t="inlineStr">
        <is>
          <t>OPEC+</t>
        </is>
      </c>
      <c r="B9" s="109" t="inlineStr">
        <is>
          <t>Production by country Aug/Sep 2026 vs targets and capacity (IEA)</t>
        </is>
      </c>
    </row>
    <row r="10" ht="15" customHeight="1" s="105">
      <c r="A10" s="108" t="inlineStr">
        <is>
          <t>Gulf_Flows</t>
        </is>
      </c>
      <c r="B10" s="109" t="inlineStr">
        <is>
          <t>Gulf exports, Hormuz, bypass routes, refined products (IEA, Kpler)</t>
        </is>
      </c>
    </row>
    <row r="11" ht="15" customHeight="1" s="105">
      <c r="A11" s="108" t="inlineStr">
        <is>
          <t>US_Weekly</t>
        </is>
      </c>
      <c r="B11" s="109" t="inlineStr">
        <is>
          <t>Weekly EIA inventories vs consensus and Hurricane Isaias</t>
        </is>
      </c>
    </row>
    <row r="12" ht="15" customHeight="1" s="105">
      <c r="A12" s="108" t="inlineStr">
        <is>
          <t>Catalysts</t>
        </is>
      </c>
      <c r="B12" s="109" t="inlineStr">
        <is>
          <t>Event calendar and risks</t>
        </is>
      </c>
    </row>
    <row r="13" ht="15" customHeight="1" s="105">
      <c r="A13" s="108" t="n"/>
      <c r="B13" s="109" t="n"/>
    </row>
    <row r="14" ht="15" customHeight="1" s="105">
      <c r="A14" s="110" t="n"/>
      <c r="B14" s="109" t="n"/>
    </row>
    <row r="15" ht="15" customHeight="1" s="105">
      <c r="A15" s="108" t="inlineStr">
        <is>
          <t>Legend</t>
        </is>
      </c>
      <c r="B15" s="109" t="n"/>
    </row>
    <row r="16" ht="15" customHeight="1" s="105">
      <c r="A16" s="111" t="inlineStr">
        <is>
          <t>Blue text</t>
        </is>
      </c>
      <c r="B16" s="109" t="inlineStr">
        <is>
          <t>Hardcoded input (from an official source, cited alongside)</t>
        </is>
      </c>
    </row>
    <row r="17" ht="15" customHeight="1" s="105">
      <c r="A17" s="112" t="inlineStr">
        <is>
          <t>Yellow fill</t>
        </is>
      </c>
      <c r="B17" s="109" t="inlineStr">
        <is>
          <t>Scenario lever or model assumption: this is where you run your what-ifs</t>
        </is>
      </c>
    </row>
    <row r="18" ht="15" customHeight="1" s="105">
      <c r="A18" s="108" t="inlineStr">
        <is>
          <t>Black text</t>
        </is>
      </c>
      <c r="B18" s="109" t="inlineStr">
        <is>
          <t>Formula</t>
        </is>
      </c>
    </row>
    <row r="19" ht="15" customHeight="1" s="105">
      <c r="A19" s="113" t="inlineStr">
        <is>
          <t>Green text</t>
        </is>
      </c>
      <c r="B19" s="109" t="inlineStr">
        <is>
          <t>Link to another sheet</t>
        </is>
      </c>
    </row>
    <row r="20" ht="15" customHeight="1" s="105">
      <c r="A20" s="114" t="inlineStr">
        <is>
          <t>Cream fill</t>
        </is>
      </c>
      <c r="B20" s="109" t="inlineStr">
        <is>
          <t>EIA forecast quarter (26Q4 onward; 26Q3 partly estimated)</t>
        </is>
      </c>
    </row>
    <row r="21" ht="15" customHeight="1" s="105">
      <c r="A21" s="110" t="n"/>
      <c r="B21" s="109" t="n"/>
    </row>
    <row r="22" ht="23.25" customHeight="1" s="105">
      <c r="A22" s="108" t="inlineStr">
        <is>
          <t>How to run scenarios</t>
        </is>
      </c>
      <c r="B22" s="109" t="inlineStr">
        <is>
          <t>1) Scenarios!C4: pick the scenario → Balance updates. 2) Edit the yellow levers (mb/d per quarter, risk premium in $). 3) Read the comparison table and the probability-weighted average. 4) Use the grid for quick supply and demand shocks.</t>
        </is>
      </c>
    </row>
    <row r="23" ht="15" customHeight="1" s="105">
      <c r="A23" s="108" t="inlineStr">
        <is>
          <t>Example</t>
        </is>
      </c>
      <c r="B23" s="109" t="inlineStr">
        <is>
          <t>'Custom' scenario: enter −1.5 on the Gulf/Hormuz lever in 26Q4 and +$8 premium → see implied Brent, WTI and the quarter's balance.</t>
        </is>
      </c>
    </row>
    <row r="24" ht="23.25" customHeight="1" s="105">
      <c r="A24" s="108" t="inlineStr">
        <is>
          <t>Price model</t>
        </is>
      </c>
      <c r="B24" s="109" t="inlineStr">
        <is>
          <t>Scenario price = EIA price − elasticity × (OECD stock change vs base)/100 + risk premium. The elasticity (~$6.7 per 100 mb of OECD stocks) is implied by EIA's own 26Q4→27Q4 forecast; editable in Scenarios.</t>
        </is>
      </c>
    </row>
    <row r="25" ht="15" customHeight="1" s="105">
      <c r="A25" s="110" t="n"/>
      <c r="B25" s="109" t="n"/>
    </row>
    <row r="26" ht="15" customHeight="1" s="105">
      <c r="A26" s="108" t="inlineStr">
        <is>
          <t>Caveat</t>
        </is>
      </c>
      <c r="B26" s="109" t="inlineStr">
        <is>
          <t>Scenario levers and probabilities are model assumptions, not data. Not investment advice.</t>
        </is>
      </c>
    </row>
    <row r="27" ht="15" customHeight="1" s="105">
      <c r="A27" s="110" t="n"/>
      <c r="B27" s="109" t="n"/>
    </row>
    <row r="28" ht="15" customHeight="1" s="105">
      <c r="A28" s="108" t="inlineStr">
        <is>
          <t>Sources</t>
        </is>
      </c>
      <c r="B28" s="109" t="n"/>
    </row>
    <row r="29" ht="15" customHeight="1" s="105">
      <c r="A29" s="108" t="inlineStr">
        <is>
          <t>EIA STEO table 3a</t>
        </is>
      </c>
      <c r="B29" s="109" t="inlineStr">
        <is>
          <t>https://www.eia.gov/outlooks/steo/tables/pdf/3atab.pdf</t>
        </is>
      </c>
    </row>
    <row r="30" ht="15" customHeight="1" s="105">
      <c r="A30" s="108" t="inlineStr">
        <is>
          <t>EIA STEO table 2</t>
        </is>
      </c>
      <c r="B30" s="109" t="inlineStr">
        <is>
          <t>https://www.eia.gov/outlooks/steo/tables/pdf/2tab.pdf</t>
        </is>
      </c>
    </row>
    <row r="31" ht="15" customHeight="1" s="105">
      <c r="A31" s="108" t="inlineStr">
        <is>
          <t>EIA STEO text</t>
        </is>
      </c>
      <c r="B31" s="109" t="inlineStr">
        <is>
          <t>https://www.eia.gov/outlooks/steo/report/global_oil.php</t>
        </is>
      </c>
    </row>
    <row r="32" ht="15" customHeight="1" s="105">
      <c r="A32" s="108" t="inlineStr">
        <is>
          <t>IEA OMR Oct-2026</t>
        </is>
      </c>
      <c r="B32" s="109" t="inlineStr">
        <is>
          <t>https://www.iea.org/reports/oil-market-report-october-2026</t>
        </is>
      </c>
    </row>
    <row r="33" ht="15" customHeight="1" s="105">
      <c r="A33" s="108" t="inlineStr">
        <is>
          <t>OPEC MOMR lug-2026 (Argus)</t>
        </is>
      </c>
      <c r="B33" s="109" t="inlineStr">
        <is>
          <t>https://www.argusmedia.com/en/news-and-insights/latest-market-news/2851347-opec-downgrades-2026-oil-demand-forecast</t>
        </is>
      </c>
    </row>
    <row r="34" ht="15" customHeight="1" s="105">
      <c r="A34" s="108" t="inlineStr">
        <is>
          <t>EIA WPSR</t>
        </is>
      </c>
      <c r="B34" s="109" t="inlineStr">
        <is>
          <t>https://www.eia.gov/petroleum/supply/weekly/</t>
        </is>
      </c>
    </row>
    <row r="35" ht="15" customHeight="1" s="105">
      <c r="A35" s="108" t="inlineStr">
        <is>
          <t>Trading Economics</t>
        </is>
      </c>
      <c r="B35" s="109" t="inlineStr">
        <is>
          <t>https://tradingeconomics.com/united-states/crude-oil-stocks-change</t>
        </is>
      </c>
    </row>
    <row r="36" ht="15" customHeight="1" s="105">
      <c r="A36" s="108" t="inlineStr">
        <is>
          <t>Investing.com API</t>
        </is>
      </c>
      <c r="B36" s="109" t="inlineStr">
        <is>
          <t>https://www.investing.com/economic-calendar/api-weekly-crude-stock-656</t>
        </is>
      </c>
    </row>
    <row r="37" ht="15" customHeight="1" s="105">
      <c r="A37" s="108" t="inlineStr">
        <is>
          <t>Kpler via Al Jazeera</t>
        </is>
      </c>
      <c r="B37" s="109" t="inlineStr">
        <is>
          <t>https://www.aljazeera.com/news/2026/9/30/economic-war-is-iran-losing-its-leverage-over-the-strait-of-hormuz</t>
        </is>
      </c>
    </row>
    <row r="38" ht="15" customHeight="1" s="105">
      <c r="A38" s="108" t="inlineStr">
        <is>
          <t>Isaias – Reuters/BOE</t>
        </is>
      </c>
      <c r="B38" s="109" t="inlineStr">
        <is>
          <t>https://boereport.com/2026/10/09/us-gulf-producers-shut-in-more-oil-and-gas-as-isaias-nears-landfall/</t>
        </is>
      </c>
    </row>
    <row r="39" ht="15" customHeight="1" s="105">
      <c r="A39" s="108" t="inlineStr">
        <is>
          <t>World Oil Monitor (WTI)</t>
        </is>
      </c>
      <c r="B39" s="109" t="inlineStr">
        <is>
          <t>https://worldoilmonitor.com/wti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P9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04" min="1" max="1"/>
    <col width="26" customWidth="1" style="104" min="2" max="2"/>
    <col width="10" customWidth="1" style="104" min="3" max="9"/>
    <col width="13" customWidth="1" style="104" min="10" max="10"/>
    <col width="9.52" customWidth="1" style="104" min="11" max="16"/>
  </cols>
  <sheetData>
    <row r="1" ht="17.25" customHeight="1" s="105">
      <c r="A1" s="106" t="inlineStr">
        <is>
          <t>Scenario analysis – control panel</t>
        </is>
      </c>
    </row>
    <row r="2" ht="15" customHeight="1" s="105">
      <c r="A2" s="107" t="inlineStr">
        <is>
          <t>Levers in mb/d (positive = more supply or more demand) applied 26Q4–27Q4 on top of the EIA base · risk premium in $/bbl on Brent</t>
        </is>
      </c>
    </row>
    <row r="4" ht="15" customHeight="1" s="105">
      <c r="A4" s="108" t="inlineStr">
        <is>
          <t>Active scenario</t>
        </is>
      </c>
      <c r="C4" s="115" t="inlineStr">
        <is>
          <t>EIA Base</t>
        </is>
      </c>
      <c r="F4" s="107" t="inlineStr">
        <is>
          <t>← pick from the menu: updates the Balance sheet</t>
        </is>
      </c>
    </row>
    <row r="6" ht="15" customHeight="1" s="105">
      <c r="A6" s="116" t="inlineStr">
        <is>
          <t>Price model parameters</t>
        </is>
      </c>
      <c r="B6" s="117" t="n"/>
      <c r="C6" s="117" t="n"/>
      <c r="D6" s="117" t="n"/>
      <c r="E6" s="117" t="n"/>
      <c r="F6" s="117" t="n"/>
      <c r="G6" s="117" t="n"/>
      <c r="H6" s="117" t="n"/>
      <c r="I6" s="117" t="n"/>
      <c r="J6" s="117" t="n"/>
    </row>
    <row r="7" ht="15" customHeight="1" s="105">
      <c r="A7" s="110" t="inlineStr">
        <is>
          <t>Elasticity: $/bbl of Brent per 100 mb of OECD stocks</t>
        </is>
      </c>
      <c r="C7" s="118">
        <f>-(EIA_Data!N$40-EIA_Data!J$40)/(EIA_Data!N$36-EIA_Data!J$36)*100</f>
        <v/>
      </c>
      <c r="D7" s="107" t="inlineStr">
        <is>
          <t>Derived from the EIA forecast: Brent and OECD stocks from 26Q4 to 27Q4</t>
        </is>
      </c>
    </row>
    <row r="8" ht="15" customHeight="1" s="105">
      <c r="A8" s="110" t="inlineStr">
        <is>
          <t>Override elasticity (leave blank to use EIA's)</t>
        </is>
      </c>
      <c r="C8" s="119" t="n"/>
      <c r="D8" s="107" t="inlineStr">
        <is>
          <t>E.g. 10 if you think the market reacts more to inventories</t>
        </is>
      </c>
    </row>
    <row r="9" ht="15" customHeight="1" s="105">
      <c r="A9" s="108" t="inlineStr">
        <is>
          <t>Elasticity in use</t>
        </is>
      </c>
      <c r="C9" s="120">
        <f>IF(C8="",C7,C8)</f>
        <v/>
      </c>
    </row>
    <row r="10" ht="15" customHeight="1" s="105">
      <c r="A10" s="110" t="inlineStr">
        <is>
          <t>OECD share of world inventory change</t>
        </is>
      </c>
      <c r="C10" s="121">
        <f>(EIA_Data!Q$32+EIA_Data!Q$33)/EIA_Data!Q$31</f>
        <v/>
      </c>
      <c r="D10" s="107" t="inlineStr">
        <is>
          <t>Derived from EIA 2027 withdrawals: the part of stock changes landing in OECD countries</t>
        </is>
      </c>
    </row>
    <row r="11" ht="15" customHeight="1" s="105">
      <c r="A11" s="110" t="inlineStr">
        <is>
          <t>Brent–WTI spread used</t>
        </is>
      </c>
      <c r="C11" s="107" t="inlineStr">
        <is>
          <t>from EIA, by quarter</t>
        </is>
      </c>
      <c r="D11" s="107" t="inlineStr">
        <is>
          <t>Scenario WTI = scenario Brent − EIA spread for the same quarter</t>
        </is>
      </c>
    </row>
    <row r="13" ht="15" customHeight="1" s="105">
      <c r="A13" s="116" t="inlineStr">
        <is>
          <t>Levers by scenario (yellow cells are editable)</t>
        </is>
      </c>
      <c r="B13" s="117" t="n"/>
      <c r="C13" s="117" t="n"/>
      <c r="D13" s="117" t="n"/>
      <c r="E13" s="117" t="n"/>
      <c r="F13" s="117" t="n"/>
      <c r="G13" s="117" t="n"/>
      <c r="H13" s="117" t="n"/>
      <c r="I13" s="117" t="n"/>
      <c r="J13" s="117" t="n"/>
    </row>
    <row r="14" ht="15" customHeight="1" s="105">
      <c r="A14" s="122" t="inlineStr">
        <is>
          <t>Scenario</t>
        </is>
      </c>
      <c r="B14" s="122" t="inlineStr">
        <is>
          <t>Lever</t>
        </is>
      </c>
      <c r="C14" s="122" t="inlineStr">
        <is>
          <t>26Q4</t>
        </is>
      </c>
      <c r="D14" s="122" t="inlineStr">
        <is>
          <t>27Q1</t>
        </is>
      </c>
      <c r="E14" s="122" t="inlineStr">
        <is>
          <t>27Q2</t>
        </is>
      </c>
      <c r="F14" s="122" t="inlineStr">
        <is>
          <t>27Q3</t>
        </is>
      </c>
      <c r="G14" s="122" t="inlineStr">
        <is>
          <t>27Q4</t>
        </is>
      </c>
      <c r="H14" s="122" t="inlineStr">
        <is>
          <t>Type</t>
        </is>
      </c>
      <c r="I14" s="122" t="inlineStr">
        <is>
          <t>Probability</t>
        </is>
      </c>
      <c r="J14" s="122" t="inlineStr">
        <is>
          <t>Rationale</t>
        </is>
      </c>
    </row>
    <row r="15" ht="15" customHeight="1" s="105">
      <c r="A15" s="108" t="inlineStr">
        <is>
          <t>EIA Base</t>
        </is>
      </c>
      <c r="B15" s="110" t="inlineStr">
        <is>
          <t>Gulf / Hormuz</t>
        </is>
      </c>
      <c r="C15" s="123" t="n">
        <v>0</v>
      </c>
      <c r="D15" s="123" t="n">
        <v>0</v>
      </c>
      <c r="E15" s="123" t="n">
        <v>0</v>
      </c>
      <c r="F15" s="123" t="n">
        <v>0</v>
      </c>
      <c r="G15" s="123" t="n">
        <v>0</v>
      </c>
      <c r="H15" s="107" t="inlineStr">
        <is>
          <t>Supply</t>
        </is>
      </c>
      <c r="I15" s="124" t="n">
        <v>0.45</v>
      </c>
      <c r="J15" s="107" t="inlineStr">
        <is>
          <t>EIA forecast as published</t>
        </is>
      </c>
    </row>
    <row r="16" ht="15" customHeight="1" s="105">
      <c r="A16" s="110" t="inlineStr">
        <is>
          <t>EIA Base</t>
        </is>
      </c>
      <c r="B16" s="110" t="inlineStr">
        <is>
          <t>Russia</t>
        </is>
      </c>
      <c r="C16" s="123" t="n">
        <v>0</v>
      </c>
      <c r="D16" s="123" t="n">
        <v>0</v>
      </c>
      <c r="E16" s="123" t="n">
        <v>0</v>
      </c>
      <c r="F16" s="123" t="n">
        <v>0</v>
      </c>
      <c r="G16" s="123" t="n">
        <v>0</v>
      </c>
      <c r="H16" s="107" t="inlineStr">
        <is>
          <t>Supply</t>
        </is>
      </c>
    </row>
    <row r="17" ht="15" customHeight="1" s="105">
      <c r="A17" s="110" t="inlineStr">
        <is>
          <t>EIA Base</t>
        </is>
      </c>
      <c r="B17" s="110" t="inlineStr">
        <is>
          <t>Hurricanes / US</t>
        </is>
      </c>
      <c r="C17" s="123" t="n">
        <v>0</v>
      </c>
      <c r="D17" s="123" t="n">
        <v>0</v>
      </c>
      <c r="E17" s="123" t="n">
        <v>0</v>
      </c>
      <c r="F17" s="123" t="n">
        <v>0</v>
      </c>
      <c r="G17" s="123" t="n">
        <v>0</v>
      </c>
      <c r="H17" s="107" t="inlineStr">
        <is>
          <t>Supply</t>
        </is>
      </c>
    </row>
    <row r="18" ht="15" customHeight="1" s="105">
      <c r="A18" s="110" t="inlineStr">
        <is>
          <t>EIA Base</t>
        </is>
      </c>
      <c r="B18" s="110" t="inlineStr">
        <is>
          <t>Strategic stocks (SPR/IEA)</t>
        </is>
      </c>
      <c r="C18" s="123" t="n">
        <v>0</v>
      </c>
      <c r="D18" s="123" t="n">
        <v>0</v>
      </c>
      <c r="E18" s="123" t="n">
        <v>0</v>
      </c>
      <c r="F18" s="123" t="n">
        <v>0</v>
      </c>
      <c r="G18" s="123" t="n">
        <v>0</v>
      </c>
      <c r="H18" s="107" t="inlineStr">
        <is>
          <t>Supply</t>
        </is>
      </c>
    </row>
    <row r="19" ht="15" customHeight="1" s="105">
      <c r="A19" s="110" t="inlineStr">
        <is>
          <t>EIA Base</t>
        </is>
      </c>
      <c r="B19" s="110" t="inlineStr">
        <is>
          <t>OPEC+ policy</t>
        </is>
      </c>
      <c r="C19" s="123" t="n">
        <v>0</v>
      </c>
      <c r="D19" s="123" t="n">
        <v>0</v>
      </c>
      <c r="E19" s="123" t="n">
        <v>0</v>
      </c>
      <c r="F19" s="123" t="n">
        <v>0</v>
      </c>
      <c r="G19" s="123" t="n">
        <v>0</v>
      </c>
      <c r="H19" s="107" t="inlineStr">
        <is>
          <t>Supply</t>
        </is>
      </c>
    </row>
    <row r="20" ht="15" customHeight="1" s="105">
      <c r="A20" s="110" t="inlineStr">
        <is>
          <t>EIA Base</t>
        </is>
      </c>
      <c r="B20" s="110" t="inlineStr">
        <is>
          <t>Demand shock</t>
        </is>
      </c>
      <c r="C20" s="123" t="n">
        <v>0</v>
      </c>
      <c r="D20" s="123" t="n">
        <v>0</v>
      </c>
      <c r="E20" s="123" t="n">
        <v>0</v>
      </c>
      <c r="F20" s="123" t="n">
        <v>0</v>
      </c>
      <c r="G20" s="123" t="n">
        <v>0</v>
      </c>
      <c r="H20" s="107" t="inlineStr">
        <is>
          <t>Demand</t>
        </is>
      </c>
    </row>
    <row r="21" ht="15" customHeight="1" s="105">
      <c r="A21" s="125" t="inlineStr">
        <is>
          <t>EIA Base</t>
        </is>
      </c>
      <c r="B21" s="125" t="inlineStr">
        <is>
          <t>Risk premium ($/bbl)</t>
        </is>
      </c>
      <c r="C21" s="126" t="n">
        <v>0</v>
      </c>
      <c r="D21" s="126" t="n">
        <v>0</v>
      </c>
      <c r="E21" s="126" t="n">
        <v>0</v>
      </c>
      <c r="F21" s="126" t="n">
        <v>0</v>
      </c>
      <c r="G21" s="126" t="n">
        <v>0</v>
      </c>
      <c r="H21" s="127" t="inlineStr">
        <is>
          <t>Price</t>
        </is>
      </c>
      <c r="I21" s="128" t="n"/>
      <c r="J21" s="128" t="n"/>
    </row>
    <row r="22" ht="15" customHeight="1" s="105">
      <c r="A22" s="108" t="inlineStr">
        <is>
          <t>Gulf Escalation</t>
        </is>
      </c>
      <c r="B22" s="110" t="inlineStr">
        <is>
          <t>Gulf / Hormuz</t>
        </is>
      </c>
      <c r="C22" s="123" t="n">
        <v>-2</v>
      </c>
      <c r="D22" s="123" t="n">
        <v>-1.5</v>
      </c>
      <c r="E22" s="123" t="n">
        <v>-0.8</v>
      </c>
      <c r="F22" s="123" t="n">
        <v>-0.3</v>
      </c>
      <c r="G22" s="123" t="n">
        <v>0</v>
      </c>
      <c r="H22" s="107" t="inlineStr">
        <is>
          <t>Supply</t>
        </is>
      </c>
      <c r="I22" s="124" t="n">
        <v>0.2</v>
      </c>
      <c r="J22" s="107" t="inlineStr">
        <is>
          <t>New attacks on Saudi infrastructure and tankers: −2 mb/d then recovery; stock release; more demand destruction</t>
        </is>
      </c>
    </row>
    <row r="23" ht="15" customHeight="1" s="105">
      <c r="A23" s="110" t="inlineStr">
        <is>
          <t>Gulf Escalation</t>
        </is>
      </c>
      <c r="B23" s="110" t="inlineStr">
        <is>
          <t>Russia</t>
        </is>
      </c>
      <c r="C23" s="123" t="n">
        <v>0</v>
      </c>
      <c r="D23" s="123" t="n">
        <v>0</v>
      </c>
      <c r="E23" s="123" t="n">
        <v>0</v>
      </c>
      <c r="F23" s="123" t="n">
        <v>0</v>
      </c>
      <c r="G23" s="123" t="n">
        <v>0</v>
      </c>
      <c r="H23" s="107" t="inlineStr">
        <is>
          <t>Supply</t>
        </is>
      </c>
    </row>
    <row r="24" ht="15" customHeight="1" s="105">
      <c r="A24" s="110" t="inlineStr">
        <is>
          <t>Gulf Escalation</t>
        </is>
      </c>
      <c r="B24" s="110" t="inlineStr">
        <is>
          <t>Hurricanes / US</t>
        </is>
      </c>
      <c r="C24" s="123" t="n">
        <v>0</v>
      </c>
      <c r="D24" s="123" t="n">
        <v>0</v>
      </c>
      <c r="E24" s="123" t="n">
        <v>0</v>
      </c>
      <c r="F24" s="123" t="n">
        <v>0</v>
      </c>
      <c r="G24" s="123" t="n">
        <v>0</v>
      </c>
      <c r="H24" s="107" t="inlineStr">
        <is>
          <t>Supply</t>
        </is>
      </c>
    </row>
    <row r="25" ht="15" customHeight="1" s="105">
      <c r="A25" s="110" t="inlineStr">
        <is>
          <t>Gulf Escalation</t>
        </is>
      </c>
      <c r="B25" s="110" t="inlineStr">
        <is>
          <t>Strategic stocks (SPR/IEA)</t>
        </is>
      </c>
      <c r="C25" s="123" t="n">
        <v>0.5</v>
      </c>
      <c r="D25" s="123" t="n">
        <v>0.3</v>
      </c>
      <c r="E25" s="123" t="n">
        <v>0</v>
      </c>
      <c r="F25" s="123" t="n">
        <v>0</v>
      </c>
      <c r="G25" s="123" t="n">
        <v>0</v>
      </c>
      <c r="H25" s="107" t="inlineStr">
        <is>
          <t>Supply</t>
        </is>
      </c>
    </row>
    <row r="26" ht="15" customHeight="1" s="105">
      <c r="A26" s="110" t="inlineStr">
        <is>
          <t>Gulf Escalation</t>
        </is>
      </c>
      <c r="B26" s="110" t="inlineStr">
        <is>
          <t>OPEC+ policy</t>
        </is>
      </c>
      <c r="C26" s="123" t="n">
        <v>0</v>
      </c>
      <c r="D26" s="123" t="n">
        <v>0</v>
      </c>
      <c r="E26" s="123" t="n">
        <v>0</v>
      </c>
      <c r="F26" s="123" t="n">
        <v>0</v>
      </c>
      <c r="G26" s="123" t="n">
        <v>0</v>
      </c>
      <c r="H26" s="107" t="inlineStr">
        <is>
          <t>Supply</t>
        </is>
      </c>
    </row>
    <row r="27" ht="15" customHeight="1" s="105">
      <c r="A27" s="110" t="inlineStr">
        <is>
          <t>Gulf Escalation</t>
        </is>
      </c>
      <c r="B27" s="110" t="inlineStr">
        <is>
          <t>Demand shock</t>
        </is>
      </c>
      <c r="C27" s="123" t="n">
        <v>-0.4</v>
      </c>
      <c r="D27" s="123" t="n">
        <v>-0.4</v>
      </c>
      <c r="E27" s="123" t="n">
        <v>-0.2</v>
      </c>
      <c r="F27" s="123" t="n">
        <v>0</v>
      </c>
      <c r="G27" s="123" t="n">
        <v>0</v>
      </c>
      <c r="H27" s="107" t="inlineStr">
        <is>
          <t>Demand</t>
        </is>
      </c>
    </row>
    <row r="28" ht="15" customHeight="1" s="105">
      <c r="A28" s="125" t="inlineStr">
        <is>
          <t>Gulf Escalation</t>
        </is>
      </c>
      <c r="B28" s="125" t="inlineStr">
        <is>
          <t>Risk premium ($/bbl)</t>
        </is>
      </c>
      <c r="C28" s="126" t="n">
        <v>10</v>
      </c>
      <c r="D28" s="126" t="n">
        <v>8</v>
      </c>
      <c r="E28" s="126" t="n">
        <v>5</v>
      </c>
      <c r="F28" s="126" t="n">
        <v>2</v>
      </c>
      <c r="G28" s="126" t="n">
        <v>0</v>
      </c>
      <c r="H28" s="127" t="inlineStr">
        <is>
          <t>Price</t>
        </is>
      </c>
      <c r="I28" s="128" t="n"/>
      <c r="J28" s="128" t="n"/>
    </row>
    <row r="29" ht="15" customHeight="1" s="105">
      <c r="A29" s="108" t="inlineStr">
        <is>
          <t>Iran Deal / Hormuz Reopened</t>
        </is>
      </c>
      <c r="B29" s="110" t="inlineStr">
        <is>
          <t>Gulf / Hormuz</t>
        </is>
      </c>
      <c r="C29" s="123" t="n">
        <v>1</v>
      </c>
      <c r="D29" s="123" t="n">
        <v>1.5</v>
      </c>
      <c r="E29" s="123" t="n">
        <v>1</v>
      </c>
      <c r="F29" s="123" t="n">
        <v>0.5</v>
      </c>
      <c r="G29" s="123" t="n">
        <v>0.3</v>
      </c>
      <c r="H29" s="107" t="inlineStr">
        <is>
          <t>Supply</t>
        </is>
      </c>
      <c r="I29" s="124" t="n">
        <v>0.15</v>
      </c>
      <c r="J29" s="107" t="inlineStr">
        <is>
          <t>US–Iran deal: faster flows and the geopolitical premium (~$20 est.) deflates</t>
        </is>
      </c>
    </row>
    <row r="30" ht="15" customHeight="1" s="105">
      <c r="A30" s="110" t="inlineStr">
        <is>
          <t>Iran Deal / Hormuz Reopened</t>
        </is>
      </c>
      <c r="B30" s="110" t="inlineStr">
        <is>
          <t>Russia</t>
        </is>
      </c>
      <c r="C30" s="123" t="n">
        <v>0</v>
      </c>
      <c r="D30" s="123" t="n">
        <v>0</v>
      </c>
      <c r="E30" s="123" t="n">
        <v>0</v>
      </c>
      <c r="F30" s="123" t="n">
        <v>0</v>
      </c>
      <c r="G30" s="123" t="n">
        <v>0</v>
      </c>
      <c r="H30" s="107" t="inlineStr">
        <is>
          <t>Supply</t>
        </is>
      </c>
    </row>
    <row r="31" ht="15" customHeight="1" s="105">
      <c r="A31" s="110" t="inlineStr">
        <is>
          <t>Iran Deal / Hormuz Reopened</t>
        </is>
      </c>
      <c r="B31" s="110" t="inlineStr">
        <is>
          <t>Hurricanes / US</t>
        </is>
      </c>
      <c r="C31" s="123" t="n">
        <v>0</v>
      </c>
      <c r="D31" s="123" t="n">
        <v>0</v>
      </c>
      <c r="E31" s="123" t="n">
        <v>0</v>
      </c>
      <c r="F31" s="123" t="n">
        <v>0</v>
      </c>
      <c r="G31" s="123" t="n">
        <v>0</v>
      </c>
      <c r="H31" s="107" t="inlineStr">
        <is>
          <t>Supply</t>
        </is>
      </c>
    </row>
    <row r="32" ht="15" customHeight="1" s="105">
      <c r="A32" s="110" t="inlineStr">
        <is>
          <t>Iran Deal / Hormuz Reopened</t>
        </is>
      </c>
      <c r="B32" s="110" t="inlineStr">
        <is>
          <t>Strategic stocks (SPR/IEA)</t>
        </is>
      </c>
      <c r="C32" s="123" t="n">
        <v>0</v>
      </c>
      <c r="D32" s="123" t="n">
        <v>0</v>
      </c>
      <c r="E32" s="123" t="n">
        <v>0</v>
      </c>
      <c r="F32" s="123" t="n">
        <v>0</v>
      </c>
      <c r="G32" s="123" t="n">
        <v>0</v>
      </c>
      <c r="H32" s="107" t="inlineStr">
        <is>
          <t>Supply</t>
        </is>
      </c>
    </row>
    <row r="33" ht="15" customHeight="1" s="105">
      <c r="A33" s="110" t="inlineStr">
        <is>
          <t>Iran Deal / Hormuz Reopened</t>
        </is>
      </c>
      <c r="B33" s="110" t="inlineStr">
        <is>
          <t>OPEC+ policy</t>
        </is>
      </c>
      <c r="C33" s="123" t="n">
        <v>0</v>
      </c>
      <c r="D33" s="123" t="n">
        <v>0</v>
      </c>
      <c r="E33" s="123" t="n">
        <v>0</v>
      </c>
      <c r="F33" s="123" t="n">
        <v>0</v>
      </c>
      <c r="G33" s="123" t="n">
        <v>0</v>
      </c>
      <c r="H33" s="107" t="inlineStr">
        <is>
          <t>Supply</t>
        </is>
      </c>
    </row>
    <row r="34" ht="15" customHeight="1" s="105">
      <c r="A34" s="110" t="inlineStr">
        <is>
          <t>Iran Deal / Hormuz Reopened</t>
        </is>
      </c>
      <c r="B34" s="110" t="inlineStr">
        <is>
          <t>Demand shock</t>
        </is>
      </c>
      <c r="C34" s="123" t="n">
        <v>0.2</v>
      </c>
      <c r="D34" s="123" t="n">
        <v>0.3</v>
      </c>
      <c r="E34" s="123" t="n">
        <v>0.3</v>
      </c>
      <c r="F34" s="123" t="n">
        <v>0.2</v>
      </c>
      <c r="G34" s="123" t="n">
        <v>0.1</v>
      </c>
      <c r="H34" s="107" t="inlineStr">
        <is>
          <t>Demand</t>
        </is>
      </c>
    </row>
    <row r="35" ht="15" customHeight="1" s="105">
      <c r="A35" s="125" t="inlineStr">
        <is>
          <t>Iran Deal / Hormuz Reopened</t>
        </is>
      </c>
      <c r="B35" s="125" t="inlineStr">
        <is>
          <t>Risk premium ($/bbl)</t>
        </is>
      </c>
      <c r="C35" s="126" t="n">
        <v>-12</v>
      </c>
      <c r="D35" s="126" t="n">
        <v>-10</v>
      </c>
      <c r="E35" s="126" t="n">
        <v>-6</v>
      </c>
      <c r="F35" s="126" t="n">
        <v>-3</v>
      </c>
      <c r="G35" s="126" t="n">
        <v>0</v>
      </c>
      <c r="H35" s="127" t="inlineStr">
        <is>
          <t>Price</t>
        </is>
      </c>
      <c r="I35" s="128" t="n"/>
      <c r="J35" s="128" t="n"/>
    </row>
    <row r="36" ht="15" customHeight="1" s="105">
      <c r="A36" s="108" t="inlineStr">
        <is>
          <t>Global Recession</t>
        </is>
      </c>
      <c r="B36" s="110" t="inlineStr">
        <is>
          <t>Gulf / Hormuz</t>
        </is>
      </c>
      <c r="C36" s="123" t="n">
        <v>0</v>
      </c>
      <c r="D36" s="123" t="n">
        <v>0</v>
      </c>
      <c r="E36" s="123" t="n">
        <v>0</v>
      </c>
      <c r="F36" s="123" t="n">
        <v>0</v>
      </c>
      <c r="G36" s="123" t="n">
        <v>0</v>
      </c>
      <c r="H36" s="107" t="inlineStr">
        <is>
          <t>Supply</t>
        </is>
      </c>
      <c r="I36" s="124" t="n">
        <v>0.1</v>
      </c>
      <c r="J36" s="107" t="inlineStr">
        <is>
          <t>High prices and inflation slow the economy: demand falls, OPEC+ cuts</t>
        </is>
      </c>
    </row>
    <row r="37" ht="15" customHeight="1" s="105">
      <c r="A37" s="110" t="inlineStr">
        <is>
          <t>Global Recession</t>
        </is>
      </c>
      <c r="B37" s="110" t="inlineStr">
        <is>
          <t>Russia</t>
        </is>
      </c>
      <c r="C37" s="123" t="n">
        <v>0</v>
      </c>
      <c r="D37" s="123" t="n">
        <v>0</v>
      </c>
      <c r="E37" s="123" t="n">
        <v>0</v>
      </c>
      <c r="F37" s="123" t="n">
        <v>0</v>
      </c>
      <c r="G37" s="123" t="n">
        <v>0</v>
      </c>
      <c r="H37" s="107" t="inlineStr">
        <is>
          <t>Supply</t>
        </is>
      </c>
    </row>
    <row r="38" ht="15" customHeight="1" s="105">
      <c r="A38" s="110" t="inlineStr">
        <is>
          <t>Global Recession</t>
        </is>
      </c>
      <c r="B38" s="110" t="inlineStr">
        <is>
          <t>Hurricanes / US</t>
        </is>
      </c>
      <c r="C38" s="123" t="n">
        <v>0</v>
      </c>
      <c r="D38" s="123" t="n">
        <v>0</v>
      </c>
      <c r="E38" s="123" t="n">
        <v>0</v>
      </c>
      <c r="F38" s="123" t="n">
        <v>0</v>
      </c>
      <c r="G38" s="123" t="n">
        <v>0</v>
      </c>
      <c r="H38" s="107" t="inlineStr">
        <is>
          <t>Supply</t>
        </is>
      </c>
    </row>
    <row r="39" ht="15" customHeight="1" s="105">
      <c r="A39" s="110" t="inlineStr">
        <is>
          <t>Global Recession</t>
        </is>
      </c>
      <c r="B39" s="110" t="inlineStr">
        <is>
          <t>Strategic stocks (SPR/IEA)</t>
        </is>
      </c>
      <c r="C39" s="123" t="n">
        <v>0</v>
      </c>
      <c r="D39" s="123" t="n">
        <v>0</v>
      </c>
      <c r="E39" s="123" t="n">
        <v>0</v>
      </c>
      <c r="F39" s="123" t="n">
        <v>0</v>
      </c>
      <c r="G39" s="123" t="n">
        <v>0</v>
      </c>
      <c r="H39" s="107" t="inlineStr">
        <is>
          <t>Supply</t>
        </is>
      </c>
    </row>
    <row r="40" ht="15" customHeight="1" s="105">
      <c r="A40" s="110" t="inlineStr">
        <is>
          <t>Global Recession</t>
        </is>
      </c>
      <c r="B40" s="110" t="inlineStr">
        <is>
          <t>OPEC+ policy</t>
        </is>
      </c>
      <c r="C40" s="123" t="n">
        <v>-0.3</v>
      </c>
      <c r="D40" s="123" t="n">
        <v>-0.5</v>
      </c>
      <c r="E40" s="123" t="n">
        <v>-0.5</v>
      </c>
      <c r="F40" s="123" t="n">
        <v>-0.5</v>
      </c>
      <c r="G40" s="123" t="n">
        <v>-0.5</v>
      </c>
      <c r="H40" s="107" t="inlineStr">
        <is>
          <t>Supply</t>
        </is>
      </c>
    </row>
    <row r="41" ht="15" customHeight="1" s="105">
      <c r="A41" s="110" t="inlineStr">
        <is>
          <t>Global Recession</t>
        </is>
      </c>
      <c r="B41" s="110" t="inlineStr">
        <is>
          <t>Demand shock</t>
        </is>
      </c>
      <c r="C41" s="123" t="n">
        <v>-1</v>
      </c>
      <c r="D41" s="123" t="n">
        <v>-1.5</v>
      </c>
      <c r="E41" s="123" t="n">
        <v>-1.5</v>
      </c>
      <c r="F41" s="123" t="n">
        <v>-1</v>
      </c>
      <c r="G41" s="123" t="n">
        <v>-0.8</v>
      </c>
      <c r="H41" s="107" t="inlineStr">
        <is>
          <t>Demand</t>
        </is>
      </c>
    </row>
    <row r="42" ht="15" customHeight="1" s="105">
      <c r="A42" s="125" t="inlineStr">
        <is>
          <t>Global Recession</t>
        </is>
      </c>
      <c r="B42" s="125" t="inlineStr">
        <is>
          <t>Risk premium ($/bbl)</t>
        </is>
      </c>
      <c r="C42" s="126" t="n">
        <v>0</v>
      </c>
      <c r="D42" s="126" t="n">
        <v>0</v>
      </c>
      <c r="E42" s="126" t="n">
        <v>0</v>
      </c>
      <c r="F42" s="126" t="n">
        <v>0</v>
      </c>
      <c r="G42" s="126" t="n">
        <v>0</v>
      </c>
      <c r="H42" s="127" t="inlineStr">
        <is>
          <t>Price</t>
        </is>
      </c>
      <c r="I42" s="128" t="n"/>
      <c r="J42" s="128" t="n"/>
    </row>
    <row r="43" ht="15" customHeight="1" s="105">
      <c r="A43" s="108" t="inlineStr">
        <is>
          <t>Russia &amp; Diesel Stress</t>
        </is>
      </c>
      <c r="B43" s="110" t="inlineStr">
        <is>
          <t>Gulf / Hormuz</t>
        </is>
      </c>
      <c r="C43" s="123" t="n">
        <v>0</v>
      </c>
      <c r="D43" s="123" t="n">
        <v>0</v>
      </c>
      <c r="E43" s="123" t="n">
        <v>0</v>
      </c>
      <c r="F43" s="123" t="n">
        <v>0</v>
      </c>
      <c r="G43" s="123" t="n">
        <v>0</v>
      </c>
      <c r="H43" s="107" t="inlineStr">
        <is>
          <t>Supply</t>
        </is>
      </c>
      <c r="I43" s="124" t="n">
        <v>0.1</v>
      </c>
      <c r="J43" s="107" t="inlineStr">
        <is>
          <t>Ukrainian strikes on refineries and the energy truce collapses</t>
        </is>
      </c>
    </row>
    <row r="44" ht="15" customHeight="1" s="105">
      <c r="A44" s="110" t="inlineStr">
        <is>
          <t>Russia &amp; Diesel Stress</t>
        </is>
      </c>
      <c r="B44" s="110" t="inlineStr">
        <is>
          <t>Russia</t>
        </is>
      </c>
      <c r="C44" s="123" t="n">
        <v>-0.5</v>
      </c>
      <c r="D44" s="123" t="n">
        <v>-0.5</v>
      </c>
      <c r="E44" s="123" t="n">
        <v>-0.3</v>
      </c>
      <c r="F44" s="123" t="n">
        <v>-0.2</v>
      </c>
      <c r="G44" s="123" t="n">
        <v>0</v>
      </c>
      <c r="H44" s="107" t="inlineStr">
        <is>
          <t>Supply</t>
        </is>
      </c>
    </row>
    <row r="45" ht="15" customHeight="1" s="105">
      <c r="A45" s="110" t="inlineStr">
        <is>
          <t>Russia &amp; Diesel Stress</t>
        </is>
      </c>
      <c r="B45" s="110" t="inlineStr">
        <is>
          <t>Hurricanes / US</t>
        </is>
      </c>
      <c r="C45" s="123" t="n">
        <v>0</v>
      </c>
      <c r="D45" s="123" t="n">
        <v>0</v>
      </c>
      <c r="E45" s="123" t="n">
        <v>0</v>
      </c>
      <c r="F45" s="123" t="n">
        <v>0</v>
      </c>
      <c r="G45" s="123" t="n">
        <v>0</v>
      </c>
      <c r="H45" s="107" t="inlineStr">
        <is>
          <t>Supply</t>
        </is>
      </c>
    </row>
    <row r="46" ht="15" customHeight="1" s="105">
      <c r="A46" s="110" t="inlineStr">
        <is>
          <t>Russia &amp; Diesel Stress</t>
        </is>
      </c>
      <c r="B46" s="110" t="inlineStr">
        <is>
          <t>Strategic stocks (SPR/IEA)</t>
        </is>
      </c>
      <c r="C46" s="123" t="n">
        <v>0.2</v>
      </c>
      <c r="D46" s="123" t="n">
        <v>0</v>
      </c>
      <c r="E46" s="123" t="n">
        <v>0</v>
      </c>
      <c r="F46" s="123" t="n">
        <v>0</v>
      </c>
      <c r="G46" s="123" t="n">
        <v>0</v>
      </c>
      <c r="H46" s="107" t="inlineStr">
        <is>
          <t>Supply</t>
        </is>
      </c>
    </row>
    <row r="47" ht="15" customHeight="1" s="105">
      <c r="A47" s="110" t="inlineStr">
        <is>
          <t>Russia &amp; Diesel Stress</t>
        </is>
      </c>
      <c r="B47" s="110" t="inlineStr">
        <is>
          <t>OPEC+ policy</t>
        </is>
      </c>
      <c r="C47" s="123" t="n">
        <v>0</v>
      </c>
      <c r="D47" s="123" t="n">
        <v>0</v>
      </c>
      <c r="E47" s="123" t="n">
        <v>0</v>
      </c>
      <c r="F47" s="123" t="n">
        <v>0</v>
      </c>
      <c r="G47" s="123" t="n">
        <v>0</v>
      </c>
      <c r="H47" s="107" t="inlineStr">
        <is>
          <t>Supply</t>
        </is>
      </c>
    </row>
    <row r="48" ht="15" customHeight="1" s="105">
      <c r="A48" s="110" t="inlineStr">
        <is>
          <t>Russia &amp; Diesel Stress</t>
        </is>
      </c>
      <c r="B48" s="110" t="inlineStr">
        <is>
          <t>Demand shock</t>
        </is>
      </c>
      <c r="C48" s="123" t="n">
        <v>0</v>
      </c>
      <c r="D48" s="123" t="n">
        <v>0</v>
      </c>
      <c r="E48" s="123" t="n">
        <v>0</v>
      </c>
      <c r="F48" s="123" t="n">
        <v>0</v>
      </c>
      <c r="G48" s="123" t="n">
        <v>0</v>
      </c>
      <c r="H48" s="107" t="inlineStr">
        <is>
          <t>Demand</t>
        </is>
      </c>
    </row>
    <row r="49" ht="15" customHeight="1" s="105">
      <c r="A49" s="125" t="inlineStr">
        <is>
          <t>Russia &amp; Diesel Stress</t>
        </is>
      </c>
      <c r="B49" s="125" t="inlineStr">
        <is>
          <t>Risk premium ($/bbl)</t>
        </is>
      </c>
      <c r="C49" s="126" t="n">
        <v>3</v>
      </c>
      <c r="D49" s="126" t="n">
        <v>2</v>
      </c>
      <c r="E49" s="126" t="n">
        <v>0</v>
      </c>
      <c r="F49" s="126" t="n">
        <v>0</v>
      </c>
      <c r="G49" s="126" t="n">
        <v>0</v>
      </c>
      <c r="H49" s="127" t="inlineStr">
        <is>
          <t>Price</t>
        </is>
      </c>
      <c r="I49" s="128" t="n"/>
      <c r="J49" s="128" t="n"/>
    </row>
    <row r="50" ht="15" customHeight="1" s="105">
      <c r="A50" s="108" t="inlineStr">
        <is>
          <t>Custom</t>
        </is>
      </c>
      <c r="B50" s="110" t="inlineStr">
        <is>
          <t>Gulf / Hormuz</t>
        </is>
      </c>
      <c r="C50" s="123" t="n">
        <v>0</v>
      </c>
      <c r="D50" s="123" t="n">
        <v>0</v>
      </c>
      <c r="E50" s="123" t="n">
        <v>0</v>
      </c>
      <c r="F50" s="123" t="n">
        <v>0</v>
      </c>
      <c r="G50" s="123" t="n">
        <v>0</v>
      </c>
      <c r="H50" s="107" t="inlineStr">
        <is>
          <t>Supply</t>
        </is>
      </c>
      <c r="I50" s="124" t="n">
        <v>0</v>
      </c>
      <c r="J50" s="107" t="inlineStr">
        <is>
          <t>User-defined scenario: start from zero</t>
        </is>
      </c>
    </row>
    <row r="51" ht="15" customHeight="1" s="105">
      <c r="A51" s="110" t="inlineStr">
        <is>
          <t>Custom</t>
        </is>
      </c>
      <c r="B51" s="110" t="inlineStr">
        <is>
          <t>Russia</t>
        </is>
      </c>
      <c r="C51" s="123" t="n">
        <v>0</v>
      </c>
      <c r="D51" s="123" t="n">
        <v>0</v>
      </c>
      <c r="E51" s="123" t="n">
        <v>0</v>
      </c>
      <c r="F51" s="123" t="n">
        <v>0</v>
      </c>
      <c r="G51" s="123" t="n">
        <v>0</v>
      </c>
      <c r="H51" s="107" t="inlineStr">
        <is>
          <t>Supply</t>
        </is>
      </c>
    </row>
    <row r="52" ht="15" customHeight="1" s="105">
      <c r="A52" s="110" t="inlineStr">
        <is>
          <t>Custom</t>
        </is>
      </c>
      <c r="B52" s="110" t="inlineStr">
        <is>
          <t>Hurricanes / US</t>
        </is>
      </c>
      <c r="C52" s="123" t="n">
        <v>0</v>
      </c>
      <c r="D52" s="123" t="n">
        <v>0</v>
      </c>
      <c r="E52" s="123" t="n">
        <v>0</v>
      </c>
      <c r="F52" s="123" t="n">
        <v>0</v>
      </c>
      <c r="G52" s="123" t="n">
        <v>0</v>
      </c>
      <c r="H52" s="107" t="inlineStr">
        <is>
          <t>Supply</t>
        </is>
      </c>
    </row>
    <row r="53" ht="15" customHeight="1" s="105">
      <c r="A53" s="110" t="inlineStr">
        <is>
          <t>Custom</t>
        </is>
      </c>
      <c r="B53" s="110" t="inlineStr">
        <is>
          <t>Strategic stocks (SPR/IEA)</t>
        </is>
      </c>
      <c r="C53" s="123" t="n">
        <v>0</v>
      </c>
      <c r="D53" s="123" t="n">
        <v>0</v>
      </c>
      <c r="E53" s="123" t="n">
        <v>0</v>
      </c>
      <c r="F53" s="123" t="n">
        <v>0</v>
      </c>
      <c r="G53" s="123" t="n">
        <v>0</v>
      </c>
      <c r="H53" s="107" t="inlineStr">
        <is>
          <t>Supply</t>
        </is>
      </c>
    </row>
    <row r="54" ht="15" customHeight="1" s="105">
      <c r="A54" s="110" t="inlineStr">
        <is>
          <t>Custom</t>
        </is>
      </c>
      <c r="B54" s="110" t="inlineStr">
        <is>
          <t>OPEC+ policy</t>
        </is>
      </c>
      <c r="C54" s="123" t="n">
        <v>0</v>
      </c>
      <c r="D54" s="123" t="n">
        <v>0</v>
      </c>
      <c r="E54" s="123" t="n">
        <v>0</v>
      </c>
      <c r="F54" s="123" t="n">
        <v>0</v>
      </c>
      <c r="G54" s="123" t="n">
        <v>0</v>
      </c>
      <c r="H54" s="107" t="inlineStr">
        <is>
          <t>Supply</t>
        </is>
      </c>
    </row>
    <row r="55" ht="15" customHeight="1" s="105">
      <c r="A55" s="110" t="inlineStr">
        <is>
          <t>Custom</t>
        </is>
      </c>
      <c r="B55" s="110" t="inlineStr">
        <is>
          <t>Demand shock</t>
        </is>
      </c>
      <c r="C55" s="123" t="n">
        <v>0</v>
      </c>
      <c r="D55" s="123" t="n">
        <v>0</v>
      </c>
      <c r="E55" s="123" t="n">
        <v>0</v>
      </c>
      <c r="F55" s="123" t="n">
        <v>0</v>
      </c>
      <c r="G55" s="123" t="n">
        <v>0</v>
      </c>
      <c r="H55" s="107" t="inlineStr">
        <is>
          <t>Demand</t>
        </is>
      </c>
    </row>
    <row r="56" ht="15" customHeight="1" s="105">
      <c r="A56" s="125" t="inlineStr">
        <is>
          <t>Custom</t>
        </is>
      </c>
      <c r="B56" s="125" t="inlineStr">
        <is>
          <t>Risk premium ($/bbl)</t>
        </is>
      </c>
      <c r="C56" s="126" t="n">
        <v>0</v>
      </c>
      <c r="D56" s="126" t="n">
        <v>0</v>
      </c>
      <c r="E56" s="126" t="n">
        <v>0</v>
      </c>
      <c r="F56" s="126" t="n">
        <v>0</v>
      </c>
      <c r="G56" s="126" t="n">
        <v>0</v>
      </c>
      <c r="H56" s="127" t="inlineStr">
        <is>
          <t>Price</t>
        </is>
      </c>
      <c r="I56" s="128" t="n"/>
      <c r="J56" s="128" t="n"/>
    </row>
    <row r="57" ht="15" customHeight="1" s="105">
      <c r="A57" s="108" t="inlineStr">
        <is>
          <t>Sum of probabilities (must be 100%)</t>
        </is>
      </c>
      <c r="I57" s="129">
        <f>SUM(I15:I56)</f>
        <v/>
      </c>
      <c r="J57" s="110">
        <f>IF(ABS(I57-1)&lt;0.001,"OK","⚠ probabilities do not sum to 100%")</f>
        <v/>
      </c>
    </row>
    <row r="59" ht="15" customHeight="1" s="105">
      <c r="A59" s="116" t="inlineStr">
        <is>
          <t>Active scenario – adjustments feeding the Balance sheet</t>
        </is>
      </c>
      <c r="B59" s="117" t="n"/>
      <c r="C59" s="117" t="n"/>
      <c r="D59" s="117" t="n"/>
      <c r="E59" s="117" t="n"/>
      <c r="F59" s="117" t="n"/>
      <c r="G59" s="117" t="n"/>
      <c r="H59" s="117" t="n"/>
      <c r="I59" s="117" t="n"/>
      <c r="J59" s="117" t="n"/>
    </row>
    <row r="60" ht="15" customHeight="1" s="105">
      <c r="A60" s="122" t="inlineStr">
        <is>
          <t>Line item</t>
        </is>
      </c>
      <c r="B60" s="122" t="n"/>
      <c r="C60" s="122" t="inlineStr">
        <is>
          <t>26Q4</t>
        </is>
      </c>
      <c r="D60" s="122" t="inlineStr">
        <is>
          <t>27Q1</t>
        </is>
      </c>
      <c r="E60" s="122" t="inlineStr">
        <is>
          <t>27Q2</t>
        </is>
      </c>
      <c r="F60" s="122" t="inlineStr">
        <is>
          <t>27Q3</t>
        </is>
      </c>
      <c r="G60" s="122" t="inlineStr">
        <is>
          <t>27Q4</t>
        </is>
      </c>
    </row>
    <row r="61" ht="15" customHeight="1" s="105">
      <c r="A61" s="110" t="inlineStr">
        <is>
          <t>Supply (sum of levers)</t>
        </is>
      </c>
      <c r="C61" s="130">
        <f>SUMIFS(C$15:C$56,$A$15:$A$56,$C$4,$H$15:$H$56,"Supply")</f>
        <v/>
      </c>
      <c r="D61" s="130">
        <f>SUMIFS(D$15:D$56,$A$15:$A$56,$C$4,$H$15:$H$56,"Supply")</f>
        <v/>
      </c>
      <c r="E61" s="130">
        <f>SUMIFS(E$15:E$56,$A$15:$A$56,$C$4,$H$15:$H$56,"Supply")</f>
        <v/>
      </c>
      <c r="F61" s="130">
        <f>SUMIFS(F$15:F$56,$A$15:$A$56,$C$4,$H$15:$H$56,"Supply")</f>
        <v/>
      </c>
      <c r="G61" s="130">
        <f>SUMIFS(G$15:G$56,$A$15:$A$56,$C$4,$H$15:$H$56,"Supply")</f>
        <v/>
      </c>
    </row>
    <row r="62" ht="15" customHeight="1" s="105">
      <c r="A62" s="110" t="inlineStr">
        <is>
          <t>Demand</t>
        </is>
      </c>
      <c r="C62" s="130">
        <f>SUMIFS(C$15:C$56,$A$15:$A$56,$C$4,$H$15:$H$56,"Demand")</f>
        <v/>
      </c>
      <c r="D62" s="130">
        <f>SUMIFS(D$15:D$56,$A$15:$A$56,$C$4,$H$15:$H$56,"Demand")</f>
        <v/>
      </c>
      <c r="E62" s="130">
        <f>SUMIFS(E$15:E$56,$A$15:$A$56,$C$4,$H$15:$H$56,"Demand")</f>
        <v/>
      </c>
      <c r="F62" s="130">
        <f>SUMIFS(F$15:F$56,$A$15:$A$56,$C$4,$H$15:$H$56,"Demand")</f>
        <v/>
      </c>
      <c r="G62" s="130">
        <f>SUMIFS(G$15:G$56,$A$15:$A$56,$C$4,$H$15:$H$56,"Demand")</f>
        <v/>
      </c>
    </row>
    <row r="63" ht="15" customHeight="1" s="105">
      <c r="A63" s="110" t="inlineStr">
        <is>
          <t>Risk premium $/bbl</t>
        </is>
      </c>
      <c r="C63" s="131">
        <f>SUMIFS(C$15:C$56,$A$15:$A$56,$C$4,$H$15:$H$56,"Price")</f>
        <v/>
      </c>
      <c r="D63" s="131">
        <f>SUMIFS(D$15:D$56,$A$15:$A$56,$C$4,$H$15:$H$56,"Price")</f>
        <v/>
      </c>
      <c r="E63" s="131">
        <f>SUMIFS(E$15:E$56,$A$15:$A$56,$C$4,$H$15:$H$56,"Price")</f>
        <v/>
      </c>
      <c r="F63" s="131">
        <f>SUMIFS(F$15:F$56,$A$15:$A$56,$C$4,$H$15:$H$56,"Price")</f>
        <v/>
      </c>
      <c r="G63" s="131">
        <f>SUMIFS(G$15:G$56,$A$15:$A$56,$C$4,$H$15:$H$56,"Price")</f>
        <v/>
      </c>
    </row>
    <row r="65" ht="15" customHeight="1" s="105">
      <c r="A65" s="116" t="inlineStr">
        <is>
          <t>Scenario comparison</t>
        </is>
      </c>
      <c r="B65" s="117" t="n"/>
      <c r="C65" s="117" t="n"/>
      <c r="D65" s="117" t="n"/>
      <c r="E65" s="117" t="n"/>
      <c r="F65" s="117" t="n"/>
      <c r="G65" s="117" t="n"/>
      <c r="H65" s="117" t="n"/>
      <c r="I65" s="117" t="n"/>
      <c r="J65" s="117" t="n"/>
      <c r="K65" s="117" t="n"/>
      <c r="L65" s="117" t="n"/>
      <c r="M65" s="117" t="n"/>
      <c r="N65" s="117" t="n"/>
      <c r="O65" s="117" t="n"/>
      <c r="P65" s="117" t="n"/>
    </row>
    <row r="66" ht="42" customHeight="1" s="105">
      <c r="A66" s="122" t="inlineStr">
        <is>
          <t>Scenario</t>
        </is>
      </c>
      <c r="B66" s="122" t="inlineStr">
        <is>
          <t>Prob.</t>
        </is>
      </c>
      <c r="C66" s="122" t="inlineStr">
        <is>
          <t>Net 26Q4</t>
        </is>
      </c>
      <c r="D66" s="122" t="inlineStr">
        <is>
          <t>Net 27Q1</t>
        </is>
      </c>
      <c r="E66" s="122" t="inlineStr">
        <is>
          <t>Net 27Q2</t>
        </is>
      </c>
      <c r="F66" s="122" t="inlineStr">
        <is>
          <t>Net 27Q3</t>
        </is>
      </c>
      <c r="G66" s="122" t="inlineStr">
        <is>
          <t>Net 27Q4</t>
        </is>
      </c>
      <c r="H66" s="122" t="inlineStr">
        <is>
          <t>Balance 26Q4</t>
        </is>
      </c>
      <c r="I66" s="122" t="inlineStr">
        <is>
          <t>Balance 27Q1</t>
        </is>
      </c>
      <c r="J66" s="122" t="inlineStr">
        <is>
          <t>Δ OECD stocks end-27 (mb)</t>
        </is>
      </c>
      <c r="K66" s="122" t="inlineStr">
        <is>
          <t>Brent 26Q4</t>
        </is>
      </c>
      <c r="L66" s="122" t="inlineStr">
        <is>
          <t>WTI 26Q4</t>
        </is>
      </c>
      <c r="M66" s="122" t="inlineStr">
        <is>
          <t>Brent 27Q1</t>
        </is>
      </c>
      <c r="N66" s="122" t="inlineStr">
        <is>
          <t>WTI 27Q1</t>
        </is>
      </c>
      <c r="O66" s="122" t="inlineStr">
        <is>
          <t>Brent 27Q4</t>
        </is>
      </c>
      <c r="P66" s="122" t="inlineStr">
        <is>
          <t>WTI 27Q4</t>
        </is>
      </c>
    </row>
    <row r="67" ht="15" customHeight="1" s="105">
      <c r="A67" s="110" t="inlineStr">
        <is>
          <t>EIA Base</t>
        </is>
      </c>
      <c r="B67" s="132">
        <f>INDEX($I$15:$I$56,MATCH(A67,$A$15:$A$56,0))</f>
        <v/>
      </c>
      <c r="C67" s="130">
        <f>SUMIFS(C$15:C$56,$A$15:$A$56,$A67,$H$15:$H$56,"Supply")-SUMIFS(C$15:C$56,$A$15:$A$56,$A67,$H$15:$H$56,"Demand")</f>
        <v/>
      </c>
      <c r="D67" s="130">
        <f>SUMIFS(D$15:D$56,$A$15:$A$56,$A67,$H$15:$H$56,"Supply")-SUMIFS(D$15:D$56,$A$15:$A$56,$A67,$H$15:$H$56,"Demand")</f>
        <v/>
      </c>
      <c r="E67" s="130">
        <f>SUMIFS(E$15:E$56,$A$15:$A$56,$A67,$H$15:$H$56,"Supply")-SUMIFS(E$15:E$56,$A$15:$A$56,$A67,$H$15:$H$56,"Demand")</f>
        <v/>
      </c>
      <c r="F67" s="130">
        <f>SUMIFS(F$15:F$56,$A$15:$A$56,$A67,$H$15:$H$56,"Supply")-SUMIFS(F$15:F$56,$A$15:$A$56,$A67,$H$15:$H$56,"Demand")</f>
        <v/>
      </c>
      <c r="G67" s="130">
        <f>SUMIFS(G$15:G$56,$A$15:$A$56,$A67,$H$15:$H$56,"Supply")-SUMIFS(G$15:G$56,$A$15:$A$56,$A67,$H$15:$H$56,"Demand")</f>
        <v/>
      </c>
      <c r="H67" s="133">
        <f>(EIA_Data!J$6-EIA_Data!J$16)+C67</f>
        <v/>
      </c>
      <c r="I67" s="133">
        <f>(EIA_Data!K$6-EIA_Data!K$16)+D67</f>
        <v/>
      </c>
      <c r="J67" s="134">
        <f>(C67*92+D67*90+E67*91+F67*92+G67*92)*$C$10</f>
        <v/>
      </c>
      <c r="K67" s="135">
        <f>EIA_Data!J$40-$C$9*$C$10*C67*92/100+SUMIFS(C$15:C$56,$A$15:$A$56,$A67,$H$15:$H$56,"Price")</f>
        <v/>
      </c>
      <c r="L67" s="135">
        <f>K67-(EIA_Data!J$40-EIA_Data!J$41)</f>
        <v/>
      </c>
      <c r="M67" s="135">
        <f>EIA_Data!K$40-$C$9*$C$10*(C67*92+D67*90)/100+SUMIFS(D$15:D$56,$A$15:$A$56,$A67,$H$15:$H$56,"Price")</f>
        <v/>
      </c>
      <c r="N67" s="135">
        <f>M67-(EIA_Data!K$40-EIA_Data!K$41)</f>
        <v/>
      </c>
      <c r="O67" s="135">
        <f>EIA_Data!N$40-$C$9*$C$10*(C67*92+D67*90+E67*91+F67*92+G67*92)/100+SUMIFS(G$15:G$56,$A$15:$A$56,$A67,$H$15:$H$56,"Price")</f>
        <v/>
      </c>
      <c r="P67" s="135">
        <f>O67-(EIA_Data!N$40-EIA_Data!N$41)</f>
        <v/>
      </c>
    </row>
    <row r="68" ht="15" customHeight="1" s="105">
      <c r="A68" s="110" t="inlineStr">
        <is>
          <t>Gulf Escalation</t>
        </is>
      </c>
      <c r="B68" s="132">
        <f>INDEX($I$15:$I$56,MATCH(A68,$A$15:$A$56,0))</f>
        <v/>
      </c>
      <c r="C68" s="130">
        <f>SUMIFS(C$15:C$56,$A$15:$A$56,$A68,$H$15:$H$56,"Supply")-SUMIFS(C$15:C$56,$A$15:$A$56,$A68,$H$15:$H$56,"Demand")</f>
        <v/>
      </c>
      <c r="D68" s="130">
        <f>SUMIFS(D$15:D$56,$A$15:$A$56,$A68,$H$15:$H$56,"Supply")-SUMIFS(D$15:D$56,$A$15:$A$56,$A68,$H$15:$H$56,"Demand")</f>
        <v/>
      </c>
      <c r="E68" s="130">
        <f>SUMIFS(E$15:E$56,$A$15:$A$56,$A68,$H$15:$H$56,"Supply")-SUMIFS(E$15:E$56,$A$15:$A$56,$A68,$H$15:$H$56,"Demand")</f>
        <v/>
      </c>
      <c r="F68" s="130">
        <f>SUMIFS(F$15:F$56,$A$15:$A$56,$A68,$H$15:$H$56,"Supply")-SUMIFS(F$15:F$56,$A$15:$A$56,$A68,$H$15:$H$56,"Demand")</f>
        <v/>
      </c>
      <c r="G68" s="130">
        <f>SUMIFS(G$15:G$56,$A$15:$A$56,$A68,$H$15:$H$56,"Supply")-SUMIFS(G$15:G$56,$A$15:$A$56,$A68,$H$15:$H$56,"Demand")</f>
        <v/>
      </c>
      <c r="H68" s="133">
        <f>(EIA_Data!J$6-EIA_Data!J$16)+C68</f>
        <v/>
      </c>
      <c r="I68" s="133">
        <f>(EIA_Data!K$6-EIA_Data!K$16)+D68</f>
        <v/>
      </c>
      <c r="J68" s="134">
        <f>(C68*92+D68*90+E68*91+F68*92+G68*92)*$C$10</f>
        <v/>
      </c>
      <c r="K68" s="135">
        <f>EIA_Data!J$40-$C$9*$C$10*C68*92/100+SUMIFS(C$15:C$56,$A$15:$A$56,$A68,$H$15:$H$56,"Price")</f>
        <v/>
      </c>
      <c r="L68" s="135">
        <f>K68-(EIA_Data!J$40-EIA_Data!J$41)</f>
        <v/>
      </c>
      <c r="M68" s="135">
        <f>EIA_Data!K$40-$C$9*$C$10*(C68*92+D68*90)/100+SUMIFS(D$15:D$56,$A$15:$A$56,$A68,$H$15:$H$56,"Price")</f>
        <v/>
      </c>
      <c r="N68" s="135">
        <f>M68-(EIA_Data!K$40-EIA_Data!K$41)</f>
        <v/>
      </c>
      <c r="O68" s="135">
        <f>EIA_Data!N$40-$C$9*$C$10*(C68*92+D68*90+E68*91+F68*92+G68*92)/100+SUMIFS(G$15:G$56,$A$15:$A$56,$A68,$H$15:$H$56,"Price")</f>
        <v/>
      </c>
      <c r="P68" s="135">
        <f>O68-(EIA_Data!N$40-EIA_Data!N$41)</f>
        <v/>
      </c>
    </row>
    <row r="69" ht="15" customHeight="1" s="105">
      <c r="A69" s="110" t="inlineStr">
        <is>
          <t>Iran Deal / Hormuz Reopened</t>
        </is>
      </c>
      <c r="B69" s="132">
        <f>INDEX($I$15:$I$56,MATCH(A69,$A$15:$A$56,0))</f>
        <v/>
      </c>
      <c r="C69" s="130">
        <f>SUMIFS(C$15:C$56,$A$15:$A$56,$A69,$H$15:$H$56,"Supply")-SUMIFS(C$15:C$56,$A$15:$A$56,$A69,$H$15:$H$56,"Demand")</f>
        <v/>
      </c>
      <c r="D69" s="130">
        <f>SUMIFS(D$15:D$56,$A$15:$A$56,$A69,$H$15:$H$56,"Supply")-SUMIFS(D$15:D$56,$A$15:$A$56,$A69,$H$15:$H$56,"Demand")</f>
        <v/>
      </c>
      <c r="E69" s="130">
        <f>SUMIFS(E$15:E$56,$A$15:$A$56,$A69,$H$15:$H$56,"Supply")-SUMIFS(E$15:E$56,$A$15:$A$56,$A69,$H$15:$H$56,"Demand")</f>
        <v/>
      </c>
      <c r="F69" s="130">
        <f>SUMIFS(F$15:F$56,$A$15:$A$56,$A69,$H$15:$H$56,"Supply")-SUMIFS(F$15:F$56,$A$15:$A$56,$A69,$H$15:$H$56,"Demand")</f>
        <v/>
      </c>
      <c r="G69" s="130">
        <f>SUMIFS(G$15:G$56,$A$15:$A$56,$A69,$H$15:$H$56,"Supply")-SUMIFS(G$15:G$56,$A$15:$A$56,$A69,$H$15:$H$56,"Demand")</f>
        <v/>
      </c>
      <c r="H69" s="133">
        <f>(EIA_Data!J$6-EIA_Data!J$16)+C69</f>
        <v/>
      </c>
      <c r="I69" s="133">
        <f>(EIA_Data!K$6-EIA_Data!K$16)+D69</f>
        <v/>
      </c>
      <c r="J69" s="134">
        <f>(C69*92+D69*90+E69*91+F69*92+G69*92)*$C$10</f>
        <v/>
      </c>
      <c r="K69" s="135">
        <f>EIA_Data!J$40-$C$9*$C$10*C69*92/100+SUMIFS(C$15:C$56,$A$15:$A$56,$A69,$H$15:$H$56,"Price")</f>
        <v/>
      </c>
      <c r="L69" s="135">
        <f>K69-(EIA_Data!J$40-EIA_Data!J$41)</f>
        <v/>
      </c>
      <c r="M69" s="135">
        <f>EIA_Data!K$40-$C$9*$C$10*(C69*92+D69*90)/100+SUMIFS(D$15:D$56,$A$15:$A$56,$A69,$H$15:$H$56,"Price")</f>
        <v/>
      </c>
      <c r="N69" s="135">
        <f>M69-(EIA_Data!K$40-EIA_Data!K$41)</f>
        <v/>
      </c>
      <c r="O69" s="135">
        <f>EIA_Data!N$40-$C$9*$C$10*(C69*92+D69*90+E69*91+F69*92+G69*92)/100+SUMIFS(G$15:G$56,$A$15:$A$56,$A69,$H$15:$H$56,"Price")</f>
        <v/>
      </c>
      <c r="P69" s="135">
        <f>O69-(EIA_Data!N$40-EIA_Data!N$41)</f>
        <v/>
      </c>
    </row>
    <row r="70" ht="15" customHeight="1" s="105">
      <c r="A70" s="110" t="inlineStr">
        <is>
          <t>Global Recession</t>
        </is>
      </c>
      <c r="B70" s="132">
        <f>INDEX($I$15:$I$56,MATCH(A70,$A$15:$A$56,0))</f>
        <v/>
      </c>
      <c r="C70" s="130">
        <f>SUMIFS(C$15:C$56,$A$15:$A$56,$A70,$H$15:$H$56,"Supply")-SUMIFS(C$15:C$56,$A$15:$A$56,$A70,$H$15:$H$56,"Demand")</f>
        <v/>
      </c>
      <c r="D70" s="130">
        <f>SUMIFS(D$15:D$56,$A$15:$A$56,$A70,$H$15:$H$56,"Supply")-SUMIFS(D$15:D$56,$A$15:$A$56,$A70,$H$15:$H$56,"Demand")</f>
        <v/>
      </c>
      <c r="E70" s="130">
        <f>SUMIFS(E$15:E$56,$A$15:$A$56,$A70,$H$15:$H$56,"Supply")-SUMIFS(E$15:E$56,$A$15:$A$56,$A70,$H$15:$H$56,"Demand")</f>
        <v/>
      </c>
      <c r="F70" s="130">
        <f>SUMIFS(F$15:F$56,$A$15:$A$56,$A70,$H$15:$H$56,"Supply")-SUMIFS(F$15:F$56,$A$15:$A$56,$A70,$H$15:$H$56,"Demand")</f>
        <v/>
      </c>
      <c r="G70" s="130">
        <f>SUMIFS(G$15:G$56,$A$15:$A$56,$A70,$H$15:$H$56,"Supply")-SUMIFS(G$15:G$56,$A$15:$A$56,$A70,$H$15:$H$56,"Demand")</f>
        <v/>
      </c>
      <c r="H70" s="133">
        <f>(EIA_Data!J$6-EIA_Data!J$16)+C70</f>
        <v/>
      </c>
      <c r="I70" s="133">
        <f>(EIA_Data!K$6-EIA_Data!K$16)+D70</f>
        <v/>
      </c>
      <c r="J70" s="134">
        <f>(C70*92+D70*90+E70*91+F70*92+G70*92)*$C$10</f>
        <v/>
      </c>
      <c r="K70" s="135">
        <f>EIA_Data!J$40-$C$9*$C$10*C70*92/100+SUMIFS(C$15:C$56,$A$15:$A$56,$A70,$H$15:$H$56,"Price")</f>
        <v/>
      </c>
      <c r="L70" s="135">
        <f>K70-(EIA_Data!J$40-EIA_Data!J$41)</f>
        <v/>
      </c>
      <c r="M70" s="135">
        <f>EIA_Data!K$40-$C$9*$C$10*(C70*92+D70*90)/100+SUMIFS(D$15:D$56,$A$15:$A$56,$A70,$H$15:$H$56,"Price")</f>
        <v/>
      </c>
      <c r="N70" s="135">
        <f>M70-(EIA_Data!K$40-EIA_Data!K$41)</f>
        <v/>
      </c>
      <c r="O70" s="135">
        <f>EIA_Data!N$40-$C$9*$C$10*(C70*92+D70*90+E70*91+F70*92+G70*92)/100+SUMIFS(G$15:G$56,$A$15:$A$56,$A70,$H$15:$H$56,"Price")</f>
        <v/>
      </c>
      <c r="P70" s="135">
        <f>O70-(EIA_Data!N$40-EIA_Data!N$41)</f>
        <v/>
      </c>
    </row>
    <row r="71" ht="15" customHeight="1" s="105">
      <c r="A71" s="110" t="inlineStr">
        <is>
          <t>Russia &amp; Diesel Stress</t>
        </is>
      </c>
      <c r="B71" s="132">
        <f>INDEX($I$15:$I$56,MATCH(A71,$A$15:$A$56,0))</f>
        <v/>
      </c>
      <c r="C71" s="130">
        <f>SUMIFS(C$15:C$56,$A$15:$A$56,$A71,$H$15:$H$56,"Supply")-SUMIFS(C$15:C$56,$A$15:$A$56,$A71,$H$15:$H$56,"Demand")</f>
        <v/>
      </c>
      <c r="D71" s="130">
        <f>SUMIFS(D$15:D$56,$A$15:$A$56,$A71,$H$15:$H$56,"Supply")-SUMIFS(D$15:D$56,$A$15:$A$56,$A71,$H$15:$H$56,"Demand")</f>
        <v/>
      </c>
      <c r="E71" s="130">
        <f>SUMIFS(E$15:E$56,$A$15:$A$56,$A71,$H$15:$H$56,"Supply")-SUMIFS(E$15:E$56,$A$15:$A$56,$A71,$H$15:$H$56,"Demand")</f>
        <v/>
      </c>
      <c r="F71" s="130">
        <f>SUMIFS(F$15:F$56,$A$15:$A$56,$A71,$H$15:$H$56,"Supply")-SUMIFS(F$15:F$56,$A$15:$A$56,$A71,$H$15:$H$56,"Demand")</f>
        <v/>
      </c>
      <c r="G71" s="130">
        <f>SUMIFS(G$15:G$56,$A$15:$A$56,$A71,$H$15:$H$56,"Supply")-SUMIFS(G$15:G$56,$A$15:$A$56,$A71,$H$15:$H$56,"Demand")</f>
        <v/>
      </c>
      <c r="H71" s="133">
        <f>(EIA_Data!J$6-EIA_Data!J$16)+C71</f>
        <v/>
      </c>
      <c r="I71" s="133">
        <f>(EIA_Data!K$6-EIA_Data!K$16)+D71</f>
        <v/>
      </c>
      <c r="J71" s="134">
        <f>(C71*92+D71*90+E71*91+F71*92+G71*92)*$C$10</f>
        <v/>
      </c>
      <c r="K71" s="135">
        <f>EIA_Data!J$40-$C$9*$C$10*C71*92/100+SUMIFS(C$15:C$56,$A$15:$A$56,$A71,$H$15:$H$56,"Price")</f>
        <v/>
      </c>
      <c r="L71" s="135">
        <f>K71-(EIA_Data!J$40-EIA_Data!J$41)</f>
        <v/>
      </c>
      <c r="M71" s="135">
        <f>EIA_Data!K$40-$C$9*$C$10*(C71*92+D71*90)/100+SUMIFS(D$15:D$56,$A$15:$A$56,$A71,$H$15:$H$56,"Price")</f>
        <v/>
      </c>
      <c r="N71" s="135">
        <f>M71-(EIA_Data!K$40-EIA_Data!K$41)</f>
        <v/>
      </c>
      <c r="O71" s="135">
        <f>EIA_Data!N$40-$C$9*$C$10*(C71*92+D71*90+E71*91+F71*92+G71*92)/100+SUMIFS(G$15:G$56,$A$15:$A$56,$A71,$H$15:$H$56,"Price")</f>
        <v/>
      </c>
      <c r="P71" s="135">
        <f>O71-(EIA_Data!N$40-EIA_Data!N$41)</f>
        <v/>
      </c>
    </row>
    <row r="72" ht="15" customHeight="1" s="105">
      <c r="A72" s="110" t="inlineStr">
        <is>
          <t>Custom</t>
        </is>
      </c>
      <c r="B72" s="132">
        <f>INDEX($I$15:$I$56,MATCH(A72,$A$15:$A$56,0))</f>
        <v/>
      </c>
      <c r="C72" s="130">
        <f>SUMIFS(C$15:C$56,$A$15:$A$56,$A72,$H$15:$H$56,"Supply")-SUMIFS(C$15:C$56,$A$15:$A$56,$A72,$H$15:$H$56,"Demand")</f>
        <v/>
      </c>
      <c r="D72" s="130">
        <f>SUMIFS(D$15:D$56,$A$15:$A$56,$A72,$H$15:$H$56,"Supply")-SUMIFS(D$15:D$56,$A$15:$A$56,$A72,$H$15:$H$56,"Demand")</f>
        <v/>
      </c>
      <c r="E72" s="130">
        <f>SUMIFS(E$15:E$56,$A$15:$A$56,$A72,$H$15:$H$56,"Supply")-SUMIFS(E$15:E$56,$A$15:$A$56,$A72,$H$15:$H$56,"Demand")</f>
        <v/>
      </c>
      <c r="F72" s="130">
        <f>SUMIFS(F$15:F$56,$A$15:$A$56,$A72,$H$15:$H$56,"Supply")-SUMIFS(F$15:F$56,$A$15:$A$56,$A72,$H$15:$H$56,"Demand")</f>
        <v/>
      </c>
      <c r="G72" s="130">
        <f>SUMIFS(G$15:G$56,$A$15:$A$56,$A72,$H$15:$H$56,"Supply")-SUMIFS(G$15:G$56,$A$15:$A$56,$A72,$H$15:$H$56,"Demand")</f>
        <v/>
      </c>
      <c r="H72" s="133">
        <f>(EIA_Data!J$6-EIA_Data!J$16)+C72</f>
        <v/>
      </c>
      <c r="I72" s="133">
        <f>(EIA_Data!K$6-EIA_Data!K$16)+D72</f>
        <v/>
      </c>
      <c r="J72" s="134">
        <f>(C72*92+D72*90+E72*91+F72*92+G72*92)*$C$10</f>
        <v/>
      </c>
      <c r="K72" s="135">
        <f>EIA_Data!J$40-$C$9*$C$10*C72*92/100+SUMIFS(C$15:C$56,$A$15:$A$56,$A72,$H$15:$H$56,"Price")</f>
        <v/>
      </c>
      <c r="L72" s="135">
        <f>K72-(EIA_Data!J$40-EIA_Data!J$41)</f>
        <v/>
      </c>
      <c r="M72" s="135">
        <f>EIA_Data!K$40-$C$9*$C$10*(C72*92+D72*90)/100+SUMIFS(D$15:D$56,$A$15:$A$56,$A72,$H$15:$H$56,"Price")</f>
        <v/>
      </c>
      <c r="N72" s="135">
        <f>M72-(EIA_Data!K$40-EIA_Data!K$41)</f>
        <v/>
      </c>
      <c r="O72" s="135">
        <f>EIA_Data!N$40-$C$9*$C$10*(C72*92+D72*90+E72*91+F72*92+G72*92)/100+SUMIFS(G$15:G$56,$A$15:$A$56,$A72,$H$15:$H$56,"Price")</f>
        <v/>
      </c>
      <c r="P72" s="135">
        <f>O72-(EIA_Data!N$40-EIA_Data!N$41)</f>
        <v/>
      </c>
    </row>
    <row r="73" ht="15" customHeight="1" s="105">
      <c r="A73" s="108" t="inlineStr">
        <is>
          <t>Probability-weighted average</t>
        </is>
      </c>
      <c r="B73" s="129">
        <f>SUM(B67:B72)</f>
        <v/>
      </c>
      <c r="C73" s="136">
        <f>IF($B73=0,0,SUMPRODUCT($B67:$B72,C67:C72)/$B73)</f>
        <v/>
      </c>
      <c r="D73" s="136">
        <f>IF($B73=0,0,SUMPRODUCT($B67:$B72,D67:D72)/$B73)</f>
        <v/>
      </c>
      <c r="E73" s="136">
        <f>IF($B73=0,0,SUMPRODUCT($B67:$B72,E67:E72)/$B73)</f>
        <v/>
      </c>
      <c r="F73" s="136">
        <f>IF($B73=0,0,SUMPRODUCT($B67:$B72,F67:F72)/$B73)</f>
        <v/>
      </c>
      <c r="G73" s="136">
        <f>IF($B73=0,0,SUMPRODUCT($B67:$B72,G67:G72)/$B73)</f>
        <v/>
      </c>
      <c r="H73" s="137">
        <f>IF($B73=0,0,SUMPRODUCT($B67:$B72,H67:H72)/$B73)</f>
        <v/>
      </c>
      <c r="I73" s="137">
        <f>IF($B73=0,0,SUMPRODUCT($B67:$B72,I67:I72)/$B73)</f>
        <v/>
      </c>
      <c r="J73" s="138">
        <f>IF($B73=0,0,SUMPRODUCT($B67:$B72,J67:J72)/$B73)</f>
        <v/>
      </c>
      <c r="K73" s="139">
        <f>IF($B73=0,0,SUMPRODUCT($B67:$B72,K67:K72)/$B73)</f>
        <v/>
      </c>
      <c r="L73" s="139">
        <f>IF($B73=0,0,SUMPRODUCT($B67:$B72,L67:L72)/$B73)</f>
        <v/>
      </c>
      <c r="M73" s="139">
        <f>IF($B73=0,0,SUMPRODUCT($B67:$B72,M67:M72)/$B73)</f>
        <v/>
      </c>
      <c r="N73" s="139">
        <f>IF($B73=0,0,SUMPRODUCT($B67:$B72,N67:N72)/$B73)</f>
        <v/>
      </c>
      <c r="O73" s="139">
        <f>IF($B73=0,0,SUMPRODUCT($B67:$B72,O67:O72)/$B73)</f>
        <v/>
      </c>
      <c r="P73" s="139">
        <f>IF($B73=0,0,SUMPRODUCT($B67:$B72,P67:P72)/$B73)</f>
        <v/>
      </c>
    </row>
    <row r="74" ht="15" customHeight="1" s="105">
      <c r="A74" s="107" t="inlineStr">
        <is>
          <t>'Net' = supply levers − demand lever (mb/d). Balance = EIA base + net. Prices = EIA base adjusted for inventories + risk premium.</t>
        </is>
      </c>
    </row>
    <row r="76" ht="15" customHeight="1" s="105">
      <c r="A76" s="116" t="inlineStr">
        <is>
          <t>26Q4 sensitivity grid – immediate shocks on top of the EIA base</t>
        </is>
      </c>
      <c r="B76" s="117" t="n"/>
      <c r="C76" s="117" t="n"/>
      <c r="D76" s="117" t="n"/>
      <c r="E76" s="117" t="n"/>
      <c r="F76" s="117" t="n"/>
      <c r="G76" s="117" t="n"/>
      <c r="H76" s="117" t="n"/>
      <c r="I76" s="117" t="n"/>
      <c r="J76" s="117" t="n"/>
      <c r="K76" s="117" t="n"/>
      <c r="L76" s="117" t="n"/>
      <c r="M76" s="117" t="n"/>
      <c r="N76" s="117" t="n"/>
      <c r="O76" s="117" t="n"/>
      <c r="P76" s="117" t="n"/>
    </row>
    <row r="77" ht="15" customHeight="1" s="105">
      <c r="A77" s="110" t="inlineStr">
        <is>
          <t>Additional risk premium ($/bbl)</t>
        </is>
      </c>
      <c r="C77" s="140" t="n">
        <v>0</v>
      </c>
    </row>
    <row r="78" ht="15" customHeight="1" s="105">
      <c r="A78" s="107" t="inlineStr">
        <is>
          <t>Rows = supply shock (mb/d) · columns = demand shock (mb/d) · value = implied 26Q4 average WTI ($/bbl)</t>
        </is>
      </c>
    </row>
    <row r="79" ht="15" customHeight="1" s="105">
      <c r="B79" s="108" t="inlineStr">
        <is>
          <t>Supply ↓ / Demand →</t>
        </is>
      </c>
      <c r="C79" s="141" t="n">
        <v>-2</v>
      </c>
      <c r="D79" s="141" t="n">
        <v>-1</v>
      </c>
      <c r="E79" s="141" t="n">
        <v>-0.5</v>
      </c>
      <c r="F79" s="141" t="n">
        <v>0</v>
      </c>
      <c r="G79" s="141" t="n">
        <v>0.5</v>
      </c>
      <c r="H79" s="141" t="n">
        <v>1</v>
      </c>
    </row>
    <row r="80" ht="15" customHeight="1" s="105">
      <c r="B80" s="141" t="n">
        <v>-3</v>
      </c>
      <c r="C80" s="135">
        <f>EIA_Data!J$41-$C$9*$C$10*($B80-C$79)*92/100+$C$77</f>
        <v/>
      </c>
      <c r="D80" s="135">
        <f>EIA_Data!J$41-$C$9*$C$10*($B80-D$79)*92/100+$C$77</f>
        <v/>
      </c>
      <c r="E80" s="135">
        <f>EIA_Data!J$41-$C$9*$C$10*($B80-E$79)*92/100+$C$77</f>
        <v/>
      </c>
      <c r="F80" s="135">
        <f>EIA_Data!J$41-$C$9*$C$10*($B80-F$79)*92/100+$C$77</f>
        <v/>
      </c>
      <c r="G80" s="135">
        <f>EIA_Data!J$41-$C$9*$C$10*($B80-G$79)*92/100+$C$77</f>
        <v/>
      </c>
      <c r="H80" s="135">
        <f>EIA_Data!J$41-$C$9*$C$10*($B80-H$79)*92/100+$C$77</f>
        <v/>
      </c>
    </row>
    <row r="81" ht="15" customHeight="1" s="105">
      <c r="B81" s="141" t="n">
        <v>-2</v>
      </c>
      <c r="C81" s="135">
        <f>EIA_Data!J$41-$C$9*$C$10*($B81-C$79)*92/100+$C$77</f>
        <v/>
      </c>
      <c r="D81" s="135">
        <f>EIA_Data!J$41-$C$9*$C$10*($B81-D$79)*92/100+$C$77</f>
        <v/>
      </c>
      <c r="E81" s="135">
        <f>EIA_Data!J$41-$C$9*$C$10*($B81-E$79)*92/100+$C$77</f>
        <v/>
      </c>
      <c r="F81" s="135">
        <f>EIA_Data!J$41-$C$9*$C$10*($B81-F$79)*92/100+$C$77</f>
        <v/>
      </c>
      <c r="G81" s="135">
        <f>EIA_Data!J$41-$C$9*$C$10*($B81-G$79)*92/100+$C$77</f>
        <v/>
      </c>
      <c r="H81" s="135">
        <f>EIA_Data!J$41-$C$9*$C$10*($B81-H$79)*92/100+$C$77</f>
        <v/>
      </c>
    </row>
    <row r="82" ht="15" customHeight="1" s="105">
      <c r="B82" s="141" t="n">
        <v>-1</v>
      </c>
      <c r="C82" s="135">
        <f>EIA_Data!J$41-$C$9*$C$10*($B82-C$79)*92/100+$C$77</f>
        <v/>
      </c>
      <c r="D82" s="135">
        <f>EIA_Data!J$41-$C$9*$C$10*($B82-D$79)*92/100+$C$77</f>
        <v/>
      </c>
      <c r="E82" s="135">
        <f>EIA_Data!J$41-$C$9*$C$10*($B82-E$79)*92/100+$C$77</f>
        <v/>
      </c>
      <c r="F82" s="135">
        <f>EIA_Data!J$41-$C$9*$C$10*($B82-F$79)*92/100+$C$77</f>
        <v/>
      </c>
      <c r="G82" s="135">
        <f>EIA_Data!J$41-$C$9*$C$10*($B82-G$79)*92/100+$C$77</f>
        <v/>
      </c>
      <c r="H82" s="135">
        <f>EIA_Data!J$41-$C$9*$C$10*($B82-H$79)*92/100+$C$77</f>
        <v/>
      </c>
    </row>
    <row r="83" ht="15" customHeight="1" s="105">
      <c r="B83" s="141" t="n">
        <v>-0.5</v>
      </c>
      <c r="C83" s="135">
        <f>EIA_Data!J$41-$C$9*$C$10*($B83-C$79)*92/100+$C$77</f>
        <v/>
      </c>
      <c r="D83" s="135">
        <f>EIA_Data!J$41-$C$9*$C$10*($B83-D$79)*92/100+$C$77</f>
        <v/>
      </c>
      <c r="E83" s="135">
        <f>EIA_Data!J$41-$C$9*$C$10*($B83-E$79)*92/100+$C$77</f>
        <v/>
      </c>
      <c r="F83" s="135">
        <f>EIA_Data!J$41-$C$9*$C$10*($B83-F$79)*92/100+$C$77</f>
        <v/>
      </c>
      <c r="G83" s="135">
        <f>EIA_Data!J$41-$C$9*$C$10*($B83-G$79)*92/100+$C$77</f>
        <v/>
      </c>
      <c r="H83" s="135">
        <f>EIA_Data!J$41-$C$9*$C$10*($B83-H$79)*92/100+$C$77</f>
        <v/>
      </c>
    </row>
    <row r="84" ht="15" customHeight="1" s="105">
      <c r="B84" s="141" t="n">
        <v>0</v>
      </c>
      <c r="C84" s="135">
        <f>EIA_Data!J$41-$C$9*$C$10*($B84-C$79)*92/100+$C$77</f>
        <v/>
      </c>
      <c r="D84" s="135">
        <f>EIA_Data!J$41-$C$9*$C$10*($B84-D$79)*92/100+$C$77</f>
        <v/>
      </c>
      <c r="E84" s="135">
        <f>EIA_Data!J$41-$C$9*$C$10*($B84-E$79)*92/100+$C$77</f>
        <v/>
      </c>
      <c r="F84" s="135">
        <f>EIA_Data!J$41-$C$9*$C$10*($B84-F$79)*92/100+$C$77</f>
        <v/>
      </c>
      <c r="G84" s="135">
        <f>EIA_Data!J$41-$C$9*$C$10*($B84-G$79)*92/100+$C$77</f>
        <v/>
      </c>
      <c r="H84" s="135">
        <f>EIA_Data!J$41-$C$9*$C$10*($B84-H$79)*92/100+$C$77</f>
        <v/>
      </c>
    </row>
    <row r="85" ht="15" customHeight="1" s="105">
      <c r="B85" s="141" t="n">
        <v>0.5</v>
      </c>
      <c r="C85" s="135">
        <f>EIA_Data!J$41-$C$9*$C$10*($B85-C$79)*92/100+$C$77</f>
        <v/>
      </c>
      <c r="D85" s="135">
        <f>EIA_Data!J$41-$C$9*$C$10*($B85-D$79)*92/100+$C$77</f>
        <v/>
      </c>
      <c r="E85" s="135">
        <f>EIA_Data!J$41-$C$9*$C$10*($B85-E$79)*92/100+$C$77</f>
        <v/>
      </c>
      <c r="F85" s="135">
        <f>EIA_Data!J$41-$C$9*$C$10*($B85-F$79)*92/100+$C$77</f>
        <v/>
      </c>
      <c r="G85" s="135">
        <f>EIA_Data!J$41-$C$9*$C$10*($B85-G$79)*92/100+$C$77</f>
        <v/>
      </c>
      <c r="H85" s="135">
        <f>EIA_Data!J$41-$C$9*$C$10*($B85-H$79)*92/100+$C$77</f>
        <v/>
      </c>
    </row>
    <row r="86" ht="15" customHeight="1" s="105">
      <c r="B86" s="141" t="n">
        <v>1</v>
      </c>
      <c r="C86" s="135">
        <f>EIA_Data!J$41-$C$9*$C$10*($B86-C$79)*92/100+$C$77</f>
        <v/>
      </c>
      <c r="D86" s="135">
        <f>EIA_Data!J$41-$C$9*$C$10*($B86-D$79)*92/100+$C$77</f>
        <v/>
      </c>
      <c r="E86" s="135">
        <f>EIA_Data!J$41-$C$9*$C$10*($B86-E$79)*92/100+$C$77</f>
        <v/>
      </c>
      <c r="F86" s="135">
        <f>EIA_Data!J$41-$C$9*$C$10*($B86-F$79)*92/100+$C$77</f>
        <v/>
      </c>
      <c r="G86" s="135">
        <f>EIA_Data!J$41-$C$9*$C$10*($B86-G$79)*92/100+$C$77</f>
        <v/>
      </c>
      <c r="H86" s="135">
        <f>EIA_Data!J$41-$C$9*$C$10*($B86-H$79)*92/100+$C$77</f>
        <v/>
      </c>
    </row>
    <row r="87" ht="15" customHeight="1" s="105">
      <c r="B87" s="141" t="n">
        <v>2</v>
      </c>
      <c r="C87" s="135">
        <f>EIA_Data!J$41-$C$9*$C$10*($B87-C$79)*92/100+$C$77</f>
        <v/>
      </c>
      <c r="D87" s="135">
        <f>EIA_Data!J$41-$C$9*$C$10*($B87-D$79)*92/100+$C$77</f>
        <v/>
      </c>
      <c r="E87" s="135">
        <f>EIA_Data!J$41-$C$9*$C$10*($B87-E$79)*92/100+$C$77</f>
        <v/>
      </c>
      <c r="F87" s="135">
        <f>EIA_Data!J$41-$C$9*$C$10*($B87-F$79)*92/100+$C$77</f>
        <v/>
      </c>
      <c r="G87" s="135">
        <f>EIA_Data!J$41-$C$9*$C$10*($B87-G$79)*92/100+$C$77</f>
        <v/>
      </c>
      <c r="H87" s="135">
        <f>EIA_Data!J$41-$C$9*$C$10*($B87-H$79)*92/100+$C$77</f>
        <v/>
      </c>
    </row>
    <row r="88" ht="15" customHeight="1" s="105">
      <c r="B88" s="141" t="n">
        <v>3</v>
      </c>
      <c r="C88" s="135">
        <f>EIA_Data!J$41-$C$9*$C$10*($B88-C$79)*92/100+$C$77</f>
        <v/>
      </c>
      <c r="D88" s="135">
        <f>EIA_Data!J$41-$C$9*$C$10*($B88-D$79)*92/100+$C$77</f>
        <v/>
      </c>
      <c r="E88" s="135">
        <f>EIA_Data!J$41-$C$9*$C$10*($B88-E$79)*92/100+$C$77</f>
        <v/>
      </c>
      <c r="F88" s="135">
        <f>EIA_Data!J$41-$C$9*$C$10*($B88-F$79)*92/100+$C$77</f>
        <v/>
      </c>
      <c r="G88" s="135">
        <f>EIA_Data!J$41-$C$9*$C$10*($B88-G$79)*92/100+$C$77</f>
        <v/>
      </c>
      <c r="H88" s="135">
        <f>EIA_Data!J$41-$C$9*$C$10*($B88-H$79)*92/100+$C$77</f>
        <v/>
      </c>
    </row>
    <row r="89" ht="15" customHeight="1" s="105">
      <c r="A89" s="107" t="inlineStr">
        <is>
          <t>Green = lower WTI, red = higher WTI. EIA base WTI 26Q4:</t>
        </is>
      </c>
      <c r="F89" s="118">
        <f>EIA_Data!J$41</f>
        <v/>
      </c>
    </row>
    <row r="90" ht="15" customHeight="1" s="105">
      <c r="A90" s="108" t="inlineStr">
        <is>
          <t>26Q4 balance for the same grid (mb/d)</t>
        </is>
      </c>
    </row>
    <row r="91" ht="15" customHeight="1" s="105">
      <c r="B91" s="142">
        <f>B80</f>
        <v/>
      </c>
      <c r="C91" s="133">
        <f>(EIA_Data!J$6-EIA_Data!J$16)+$B91-C$79</f>
        <v/>
      </c>
      <c r="D91" s="133">
        <f>(EIA_Data!J$6-EIA_Data!J$16)+$B91-D$79</f>
        <v/>
      </c>
      <c r="E91" s="133">
        <f>(EIA_Data!J$6-EIA_Data!J$16)+$B91-E$79</f>
        <v/>
      </c>
      <c r="F91" s="133">
        <f>(EIA_Data!J$6-EIA_Data!J$16)+$B91-F$79</f>
        <v/>
      </c>
      <c r="G91" s="133">
        <f>(EIA_Data!J$6-EIA_Data!J$16)+$B91-G$79</f>
        <v/>
      </c>
      <c r="H91" s="133">
        <f>(EIA_Data!J$6-EIA_Data!J$16)+$B91-H$79</f>
        <v/>
      </c>
    </row>
    <row r="92" ht="15" customHeight="1" s="105">
      <c r="B92" s="142">
        <f>B81</f>
        <v/>
      </c>
      <c r="C92" s="133">
        <f>(EIA_Data!J$6-EIA_Data!J$16)+$B92-C$79</f>
        <v/>
      </c>
      <c r="D92" s="133">
        <f>(EIA_Data!J$6-EIA_Data!J$16)+$B92-D$79</f>
        <v/>
      </c>
      <c r="E92" s="133">
        <f>(EIA_Data!J$6-EIA_Data!J$16)+$B92-E$79</f>
        <v/>
      </c>
      <c r="F92" s="133">
        <f>(EIA_Data!J$6-EIA_Data!J$16)+$B92-F$79</f>
        <v/>
      </c>
      <c r="G92" s="133">
        <f>(EIA_Data!J$6-EIA_Data!J$16)+$B92-G$79</f>
        <v/>
      </c>
      <c r="H92" s="133">
        <f>(EIA_Data!J$6-EIA_Data!J$16)+$B92-H$79</f>
        <v/>
      </c>
    </row>
    <row r="93" ht="15" customHeight="1" s="105">
      <c r="B93" s="142">
        <f>B82</f>
        <v/>
      </c>
      <c r="C93" s="133">
        <f>(EIA_Data!J$6-EIA_Data!J$16)+$B93-C$79</f>
        <v/>
      </c>
      <c r="D93" s="133">
        <f>(EIA_Data!J$6-EIA_Data!J$16)+$B93-D$79</f>
        <v/>
      </c>
      <c r="E93" s="133">
        <f>(EIA_Data!J$6-EIA_Data!J$16)+$B93-E$79</f>
        <v/>
      </c>
      <c r="F93" s="133">
        <f>(EIA_Data!J$6-EIA_Data!J$16)+$B93-F$79</f>
        <v/>
      </c>
      <c r="G93" s="133">
        <f>(EIA_Data!J$6-EIA_Data!J$16)+$B93-G$79</f>
        <v/>
      </c>
      <c r="H93" s="133">
        <f>(EIA_Data!J$6-EIA_Data!J$16)+$B93-H$79</f>
        <v/>
      </c>
    </row>
    <row r="94" ht="15" customHeight="1" s="105">
      <c r="B94" s="142">
        <f>B83</f>
        <v/>
      </c>
      <c r="C94" s="133">
        <f>(EIA_Data!J$6-EIA_Data!J$16)+$B94-C$79</f>
        <v/>
      </c>
      <c r="D94" s="133">
        <f>(EIA_Data!J$6-EIA_Data!J$16)+$B94-D$79</f>
        <v/>
      </c>
      <c r="E94" s="133">
        <f>(EIA_Data!J$6-EIA_Data!J$16)+$B94-E$79</f>
        <v/>
      </c>
      <c r="F94" s="133">
        <f>(EIA_Data!J$6-EIA_Data!J$16)+$B94-F$79</f>
        <v/>
      </c>
      <c r="G94" s="133">
        <f>(EIA_Data!J$6-EIA_Data!J$16)+$B94-G$79</f>
        <v/>
      </c>
      <c r="H94" s="133">
        <f>(EIA_Data!J$6-EIA_Data!J$16)+$B94-H$79</f>
        <v/>
      </c>
    </row>
    <row r="95" ht="15" customHeight="1" s="105">
      <c r="B95" s="142">
        <f>B84</f>
        <v/>
      </c>
      <c r="C95" s="133">
        <f>(EIA_Data!J$6-EIA_Data!J$16)+$B95-C$79</f>
        <v/>
      </c>
      <c r="D95" s="133">
        <f>(EIA_Data!J$6-EIA_Data!J$16)+$B95-D$79</f>
        <v/>
      </c>
      <c r="E95" s="133">
        <f>(EIA_Data!J$6-EIA_Data!J$16)+$B95-E$79</f>
        <v/>
      </c>
      <c r="F95" s="133">
        <f>(EIA_Data!J$6-EIA_Data!J$16)+$B95-F$79</f>
        <v/>
      </c>
      <c r="G95" s="133">
        <f>(EIA_Data!J$6-EIA_Data!J$16)+$B95-G$79</f>
        <v/>
      </c>
      <c r="H95" s="133">
        <f>(EIA_Data!J$6-EIA_Data!J$16)+$B95-H$79</f>
        <v/>
      </c>
    </row>
    <row r="96" ht="15" customHeight="1" s="105">
      <c r="B96" s="142">
        <f>B85</f>
        <v/>
      </c>
      <c r="C96" s="133">
        <f>(EIA_Data!J$6-EIA_Data!J$16)+$B96-C$79</f>
        <v/>
      </c>
      <c r="D96" s="133">
        <f>(EIA_Data!J$6-EIA_Data!J$16)+$B96-D$79</f>
        <v/>
      </c>
      <c r="E96" s="133">
        <f>(EIA_Data!J$6-EIA_Data!J$16)+$B96-E$79</f>
        <v/>
      </c>
      <c r="F96" s="133">
        <f>(EIA_Data!J$6-EIA_Data!J$16)+$B96-F$79</f>
        <v/>
      </c>
      <c r="G96" s="133">
        <f>(EIA_Data!J$6-EIA_Data!J$16)+$B96-G$79</f>
        <v/>
      </c>
      <c r="H96" s="133">
        <f>(EIA_Data!J$6-EIA_Data!J$16)+$B96-H$79</f>
        <v/>
      </c>
    </row>
    <row r="97" ht="15" customHeight="1" s="105">
      <c r="B97" s="142">
        <f>B86</f>
        <v/>
      </c>
      <c r="C97" s="133">
        <f>(EIA_Data!J$6-EIA_Data!J$16)+$B97-C$79</f>
        <v/>
      </c>
      <c r="D97" s="133">
        <f>(EIA_Data!J$6-EIA_Data!J$16)+$B97-D$79</f>
        <v/>
      </c>
      <c r="E97" s="133">
        <f>(EIA_Data!J$6-EIA_Data!J$16)+$B97-E$79</f>
        <v/>
      </c>
      <c r="F97" s="133">
        <f>(EIA_Data!J$6-EIA_Data!J$16)+$B97-F$79</f>
        <v/>
      </c>
      <c r="G97" s="133">
        <f>(EIA_Data!J$6-EIA_Data!J$16)+$B97-G$79</f>
        <v/>
      </c>
      <c r="H97" s="133">
        <f>(EIA_Data!J$6-EIA_Data!J$16)+$B97-H$79</f>
        <v/>
      </c>
    </row>
    <row r="98" ht="15" customHeight="1" s="105">
      <c r="B98" s="142">
        <f>B87</f>
        <v/>
      </c>
      <c r="C98" s="133">
        <f>(EIA_Data!J$6-EIA_Data!J$16)+$B98-C$79</f>
        <v/>
      </c>
      <c r="D98" s="133">
        <f>(EIA_Data!J$6-EIA_Data!J$16)+$B98-D$79</f>
        <v/>
      </c>
      <c r="E98" s="133">
        <f>(EIA_Data!J$6-EIA_Data!J$16)+$B98-E$79</f>
        <v/>
      </c>
      <c r="F98" s="133">
        <f>(EIA_Data!J$6-EIA_Data!J$16)+$B98-F$79</f>
        <v/>
      </c>
      <c r="G98" s="133">
        <f>(EIA_Data!J$6-EIA_Data!J$16)+$B98-G$79</f>
        <v/>
      </c>
      <c r="H98" s="133">
        <f>(EIA_Data!J$6-EIA_Data!J$16)+$B98-H$79</f>
        <v/>
      </c>
    </row>
    <row r="99" ht="15" customHeight="1" s="105">
      <c r="B99" s="142">
        <f>B88</f>
        <v/>
      </c>
      <c r="C99" s="133">
        <f>(EIA_Data!J$6-EIA_Data!J$16)+$B99-C$79</f>
        <v/>
      </c>
      <c r="D99" s="133">
        <f>(EIA_Data!J$6-EIA_Data!J$16)+$B99-D$79</f>
        <v/>
      </c>
      <c r="E99" s="133">
        <f>(EIA_Data!J$6-EIA_Data!J$16)+$B99-E$79</f>
        <v/>
      </c>
      <c r="F99" s="133">
        <f>(EIA_Data!J$6-EIA_Data!J$16)+$B99-F$79</f>
        <v/>
      </c>
      <c r="G99" s="133">
        <f>(EIA_Data!J$6-EIA_Data!J$16)+$B99-G$79</f>
        <v/>
      </c>
      <c r="H99" s="133">
        <f>(EIA_Data!J$6-EIA_Data!J$16)+$B99-H$79</f>
        <v/>
      </c>
    </row>
  </sheetData>
  <mergeCells count="1">
    <mergeCell ref="C4:E4"/>
  </mergeCells>
  <conditionalFormatting sqref="H67:I73">
    <cfRule type="cellIs" rank="0" priority="2" equalAverage="0" operator="lessThan" aboveAverage="0" dxfId="0" text="" percent="0" bottom="0">
      <formula>0</formula>
    </cfRule>
    <cfRule type="cellIs" rank="0" priority="3" equalAverage="0" operator="greaterThan" aboveAverage="0" dxfId="1" text="" percent="0" bottom="0">
      <formula>0</formula>
    </cfRule>
  </conditionalFormatting>
  <conditionalFormatting sqref="C80:H88">
    <cfRule type="colorScale" priority="4">
      <colorScale>
        <cfvo type="min" val="0"/>
        <cfvo type="percentile" val="50"/>
        <cfvo type="max" val="0"/>
        <color rgb="FF63BE7B"/>
        <color rgb="FFFFFFFF"/>
        <color rgb="FFF8696B"/>
      </colorScale>
    </cfRule>
  </conditionalFormatting>
  <conditionalFormatting sqref="C91:H99">
    <cfRule type="cellIs" rank="0" priority="5" equalAverage="0" operator="lessThan" aboveAverage="0" dxfId="0" text="" percent="0" bottom="0">
      <formula>0</formula>
    </cfRule>
    <cfRule type="cellIs" rank="0" priority="6" equalAverage="0" operator="greaterThan" aboveAverage="0" dxfId="1" text="" percent="0" bottom="0">
      <formula>0</formula>
    </cfRule>
  </conditionalFormatting>
  <dataValidations count="1">
    <dataValidation sqref="C4" showDropDown="0" showInputMessage="0" showErrorMessage="0" allowBlank="0" type="list" errorStyle="stop" operator="between">
      <formula1>"EIA Base,Gulf Escalation,Iran Deal / Hormuz Reopened,Global Recession,Russia &amp; Diesel Stress,Custom"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R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8" customWidth="1" style="104" min="1" max="1"/>
    <col width="6" customWidth="1" style="104" min="2" max="2"/>
    <col width="8.5" customWidth="1" style="104" min="3" max="17"/>
    <col width="55" customWidth="1" style="104" min="18" max="18"/>
  </cols>
  <sheetData>
    <row r="1" ht="17.25" customHeight="1" s="105">
      <c r="A1" s="106" t="inlineStr">
        <is>
          <t>Global oil balance – EIA base and active scenario</t>
        </is>
      </c>
    </row>
    <row r="2" ht="15" customHeight="1" s="105">
      <c r="A2" s="107" t="inlineStr">
        <is>
          <t>mb/d unless stated · source EIA STEO Oct-2026 · active scenario:</t>
        </is>
      </c>
      <c r="H2" s="113">
        <f>Scenarios!C4</f>
        <v/>
      </c>
    </row>
    <row r="4" ht="15" customHeight="1" s="105">
      <c r="A4" s="122" t="inlineStr">
        <is>
          <t>Line item</t>
        </is>
      </c>
      <c r="B4" s="122" t="inlineStr">
        <is>
          <t>Unit</t>
        </is>
      </c>
      <c r="C4" s="122" t="inlineStr">
        <is>
          <t>25Q1</t>
        </is>
      </c>
      <c r="D4" s="122" t="inlineStr">
        <is>
          <t>25Q2</t>
        </is>
      </c>
      <c r="E4" s="122" t="inlineStr">
        <is>
          <t>25Q3</t>
        </is>
      </c>
      <c r="F4" s="122" t="inlineStr">
        <is>
          <t>25Q4</t>
        </is>
      </c>
      <c r="G4" s="122" t="inlineStr">
        <is>
          <t>26Q1</t>
        </is>
      </c>
      <c r="H4" s="122" t="inlineStr">
        <is>
          <t>26Q2</t>
        </is>
      </c>
      <c r="I4" s="122" t="inlineStr">
        <is>
          <t>26Q3</t>
        </is>
      </c>
      <c r="J4" s="122" t="inlineStr">
        <is>
          <t>26Q4</t>
        </is>
      </c>
      <c r="K4" s="122" t="inlineStr">
        <is>
          <t>27Q1</t>
        </is>
      </c>
      <c r="L4" s="122" t="inlineStr">
        <is>
          <t>27Q2</t>
        </is>
      </c>
      <c r="M4" s="122" t="inlineStr">
        <is>
          <t>27Q3</t>
        </is>
      </c>
      <c r="N4" s="122" t="inlineStr">
        <is>
          <t>27Q4</t>
        </is>
      </c>
      <c r="O4" s="122" t="inlineStr">
        <is>
          <t>2025</t>
        </is>
      </c>
      <c r="P4" s="122" t="inlineStr">
        <is>
          <t>2026</t>
        </is>
      </c>
      <c r="Q4" s="122" t="inlineStr">
        <is>
          <t>2027</t>
        </is>
      </c>
      <c r="R4" s="122" t="inlineStr">
        <is>
          <t>Notes</t>
        </is>
      </c>
    </row>
    <row r="5" ht="15" customHeight="1" s="105">
      <c r="A5" s="116" t="inlineStr">
        <is>
          <t>SUPPLY</t>
        </is>
      </c>
      <c r="B5" s="117" t="n"/>
      <c r="C5" s="117" t="n"/>
      <c r="D5" s="117" t="n"/>
      <c r="E5" s="117" t="n"/>
      <c r="F5" s="117" t="n"/>
      <c r="G5" s="117" t="n"/>
      <c r="H5" s="117" t="n"/>
      <c r="I5" s="117" t="n"/>
      <c r="J5" s="117" t="n"/>
      <c r="K5" s="117" t="n"/>
      <c r="L5" s="117" t="n"/>
      <c r="M5" s="117" t="n"/>
      <c r="N5" s="117" t="n"/>
      <c r="O5" s="117" t="n"/>
      <c r="P5" s="117" t="n"/>
      <c r="Q5" s="117" t="n"/>
      <c r="R5" s="117" t="n"/>
    </row>
    <row r="6" ht="15" customHeight="1" s="105">
      <c r="A6" s="110" t="inlineStr">
        <is>
          <t>OPEC crude</t>
        </is>
      </c>
      <c r="B6" s="110" t="inlineStr">
        <is>
          <t>mb/d</t>
        </is>
      </c>
      <c r="C6" s="143">
        <f>EIA_Data!C$10</f>
        <v/>
      </c>
      <c r="D6" s="143">
        <f>EIA_Data!D$10</f>
        <v/>
      </c>
      <c r="E6" s="143">
        <f>EIA_Data!E$10</f>
        <v/>
      </c>
      <c r="F6" s="143">
        <f>EIA_Data!F$10</f>
        <v/>
      </c>
      <c r="G6" s="143">
        <f>EIA_Data!G$10</f>
        <v/>
      </c>
      <c r="H6" s="143">
        <f>EIA_Data!H$10</f>
        <v/>
      </c>
      <c r="I6" s="143">
        <f>EIA_Data!I$10</f>
        <v/>
      </c>
      <c r="J6" s="144">
        <f>EIA_Data!J$10</f>
        <v/>
      </c>
      <c r="K6" s="144">
        <f>EIA_Data!K$10</f>
        <v/>
      </c>
      <c r="L6" s="144">
        <f>EIA_Data!L$10</f>
        <v/>
      </c>
      <c r="M6" s="144">
        <f>EIA_Data!M$10</f>
        <v/>
      </c>
      <c r="N6" s="144">
        <f>EIA_Data!N$10</f>
        <v/>
      </c>
      <c r="O6" s="145">
        <f>EIA_Data!O$10</f>
        <v/>
      </c>
      <c r="P6" s="145">
        <f>EIA_Data!P$10</f>
        <v/>
      </c>
      <c r="Q6" s="145">
        <f>EIA_Data!Q$10</f>
        <v/>
      </c>
    </row>
    <row r="7" ht="15" customHeight="1" s="105">
      <c r="A7" s="110" t="inlineStr">
        <is>
          <t>OPEC other liquids</t>
        </is>
      </c>
      <c r="B7" s="110" t="inlineStr">
        <is>
          <t>mb/d</t>
        </is>
      </c>
      <c r="C7" s="143">
        <f>EIA_Data!C$11</f>
        <v/>
      </c>
      <c r="D7" s="143">
        <f>EIA_Data!D$11</f>
        <v/>
      </c>
      <c r="E7" s="143">
        <f>EIA_Data!E$11</f>
        <v/>
      </c>
      <c r="F7" s="143">
        <f>EIA_Data!F$11</f>
        <v/>
      </c>
      <c r="G7" s="143">
        <f>EIA_Data!G$11</f>
        <v/>
      </c>
      <c r="H7" s="143">
        <f>EIA_Data!H$11</f>
        <v/>
      </c>
      <c r="I7" s="143">
        <f>EIA_Data!I$11</f>
        <v/>
      </c>
      <c r="J7" s="144">
        <f>EIA_Data!J$11</f>
        <v/>
      </c>
      <c r="K7" s="144">
        <f>EIA_Data!K$11</f>
        <v/>
      </c>
      <c r="L7" s="144">
        <f>EIA_Data!L$11</f>
        <v/>
      </c>
      <c r="M7" s="144">
        <f>EIA_Data!M$11</f>
        <v/>
      </c>
      <c r="N7" s="144">
        <f>EIA_Data!N$11</f>
        <v/>
      </c>
      <c r="O7" s="145">
        <f>EIA_Data!O$11</f>
        <v/>
      </c>
      <c r="P7" s="145">
        <f>EIA_Data!P$11</f>
        <v/>
      </c>
      <c r="Q7" s="145">
        <f>EIA_Data!Q$11</f>
        <v/>
      </c>
    </row>
    <row r="8" ht="15" customHeight="1" s="105">
      <c r="A8" s="110" t="inlineStr">
        <is>
          <t>Non-OPEC crude</t>
        </is>
      </c>
      <c r="B8" s="110" t="inlineStr">
        <is>
          <t>mb/d</t>
        </is>
      </c>
      <c r="C8" s="143">
        <f>EIA_Data!C$13</f>
        <v/>
      </c>
      <c r="D8" s="143">
        <f>EIA_Data!D$13</f>
        <v/>
      </c>
      <c r="E8" s="143">
        <f>EIA_Data!E$13</f>
        <v/>
      </c>
      <c r="F8" s="143">
        <f>EIA_Data!F$13</f>
        <v/>
      </c>
      <c r="G8" s="143">
        <f>EIA_Data!G$13</f>
        <v/>
      </c>
      <c r="H8" s="143">
        <f>EIA_Data!H$13</f>
        <v/>
      </c>
      <c r="I8" s="143">
        <f>EIA_Data!I$13</f>
        <v/>
      </c>
      <c r="J8" s="144">
        <f>EIA_Data!J$13</f>
        <v/>
      </c>
      <c r="K8" s="144">
        <f>EIA_Data!K$13</f>
        <v/>
      </c>
      <c r="L8" s="144">
        <f>EIA_Data!L$13</f>
        <v/>
      </c>
      <c r="M8" s="144">
        <f>EIA_Data!M$13</f>
        <v/>
      </c>
      <c r="N8" s="144">
        <f>EIA_Data!N$13</f>
        <v/>
      </c>
      <c r="O8" s="145">
        <f>EIA_Data!O$13</f>
        <v/>
      </c>
      <c r="P8" s="145">
        <f>EIA_Data!P$13</f>
        <v/>
      </c>
      <c r="Q8" s="145">
        <f>EIA_Data!Q$13</f>
        <v/>
      </c>
    </row>
    <row r="9" ht="15" customHeight="1" s="105">
      <c r="A9" s="110" t="inlineStr">
        <is>
          <t>Non-OPEC other liquids</t>
        </is>
      </c>
      <c r="B9" s="110" t="inlineStr">
        <is>
          <t>mb/d</t>
        </is>
      </c>
      <c r="C9" s="143">
        <f>EIA_Data!C$14</f>
        <v/>
      </c>
      <c r="D9" s="143">
        <f>EIA_Data!D$14</f>
        <v/>
      </c>
      <c r="E9" s="143">
        <f>EIA_Data!E$14</f>
        <v/>
      </c>
      <c r="F9" s="143">
        <f>EIA_Data!F$14</f>
        <v/>
      </c>
      <c r="G9" s="143">
        <f>EIA_Data!G$14</f>
        <v/>
      </c>
      <c r="H9" s="143">
        <f>EIA_Data!H$14</f>
        <v/>
      </c>
      <c r="I9" s="143">
        <f>EIA_Data!I$14</f>
        <v/>
      </c>
      <c r="J9" s="144">
        <f>EIA_Data!J$14</f>
        <v/>
      </c>
      <c r="K9" s="144">
        <f>EIA_Data!K$14</f>
        <v/>
      </c>
      <c r="L9" s="144">
        <f>EIA_Data!L$14</f>
        <v/>
      </c>
      <c r="M9" s="144">
        <f>EIA_Data!M$14</f>
        <v/>
      </c>
      <c r="N9" s="144">
        <f>EIA_Data!N$14</f>
        <v/>
      </c>
      <c r="O9" s="145">
        <f>EIA_Data!O$14</f>
        <v/>
      </c>
      <c r="P9" s="145">
        <f>EIA_Data!P$14</f>
        <v/>
      </c>
      <c r="Q9" s="145">
        <f>EIA_Data!Q$14</f>
        <v/>
      </c>
    </row>
    <row r="10" ht="15" customHeight="1" s="105">
      <c r="A10" s="108" t="inlineStr">
        <is>
          <t>World supply (EIA base)</t>
        </is>
      </c>
      <c r="B10" s="110" t="inlineStr">
        <is>
          <t>mb/d</t>
        </is>
      </c>
      <c r="C10" s="137">
        <f>SUM(C6:C9)</f>
        <v/>
      </c>
      <c r="D10" s="137">
        <f>SUM(D6:D9)</f>
        <v/>
      </c>
      <c r="E10" s="137">
        <f>SUM(E6:E9)</f>
        <v/>
      </c>
      <c r="F10" s="137">
        <f>SUM(F6:F9)</f>
        <v/>
      </c>
      <c r="G10" s="137">
        <f>SUM(G6:G9)</f>
        <v/>
      </c>
      <c r="H10" s="137">
        <f>SUM(H6:H9)</f>
        <v/>
      </c>
      <c r="I10" s="137">
        <f>SUM(I6:I9)</f>
        <v/>
      </c>
      <c r="J10" s="146">
        <f>SUM(J6:J9)</f>
        <v/>
      </c>
      <c r="K10" s="146">
        <f>SUM(K6:K9)</f>
        <v/>
      </c>
      <c r="L10" s="146">
        <f>SUM(L6:L9)</f>
        <v/>
      </c>
      <c r="M10" s="146">
        <f>SUM(M6:M9)</f>
        <v/>
      </c>
      <c r="N10" s="146">
        <f>SUM(N6:N9)</f>
        <v/>
      </c>
      <c r="O10" s="147">
        <f>SUM(O6:O9)</f>
        <v/>
      </c>
      <c r="P10" s="147">
        <f>SUM(P6:P9)</f>
        <v/>
      </c>
      <c r="Q10" s="147">
        <f>SUM(Q6:Q9)</f>
        <v/>
      </c>
    </row>
    <row r="11" ht="15" customHeight="1" s="105">
      <c r="A11" s="110" t="inlineStr">
        <is>
          <t xml:space="preserve">  Change y/y</t>
        </is>
      </c>
      <c r="B11" s="110" t="inlineStr">
        <is>
          <t>mb/d</t>
        </is>
      </c>
      <c r="G11" s="133">
        <f>G10-C10</f>
        <v/>
      </c>
      <c r="H11" s="133">
        <f>H10-D10</f>
        <v/>
      </c>
      <c r="I11" s="133">
        <f>I10-E10</f>
        <v/>
      </c>
      <c r="J11" s="148">
        <f>J10-F10</f>
        <v/>
      </c>
      <c r="K11" s="148">
        <f>K10-G10</f>
        <v/>
      </c>
      <c r="L11" s="148">
        <f>L10-H10</f>
        <v/>
      </c>
      <c r="M11" s="148">
        <f>M10-I10</f>
        <v/>
      </c>
      <c r="N11" s="148">
        <f>N10-J10</f>
        <v/>
      </c>
      <c r="O11" s="149" t="n"/>
      <c r="P11" s="150">
        <f>P10-O10</f>
        <v/>
      </c>
      <c r="Q11" s="150">
        <f>Q10-P10</f>
        <v/>
      </c>
    </row>
    <row r="12" ht="15" customHeight="1" s="105">
      <c r="A12" s="110" t="inlineStr">
        <is>
          <t xml:space="preserve">  OPEC share of supply</t>
        </is>
      </c>
      <c r="B12" s="110" t="inlineStr">
        <is>
          <t>%</t>
        </is>
      </c>
      <c r="C12" s="151">
        <f>(C6+C7)/C10</f>
        <v/>
      </c>
      <c r="D12" s="151">
        <f>(D6+D7)/D10</f>
        <v/>
      </c>
      <c r="E12" s="151">
        <f>(E6+E7)/E10</f>
        <v/>
      </c>
      <c r="F12" s="151">
        <f>(F6+F7)/F10</f>
        <v/>
      </c>
      <c r="G12" s="151">
        <f>(G6+G7)/G10</f>
        <v/>
      </c>
      <c r="H12" s="151">
        <f>(H6+H7)/H10</f>
        <v/>
      </c>
      <c r="I12" s="151">
        <f>(I6+I7)/I10</f>
        <v/>
      </c>
      <c r="J12" s="152">
        <f>(J6+J7)/J10</f>
        <v/>
      </c>
      <c r="K12" s="152">
        <f>(K6+K7)/K10</f>
        <v/>
      </c>
      <c r="L12" s="152">
        <f>(L6+L7)/L10</f>
        <v/>
      </c>
      <c r="M12" s="152">
        <f>(M6+M7)/M10</f>
        <v/>
      </c>
      <c r="N12" s="152">
        <f>(N6+N7)/N10</f>
        <v/>
      </c>
      <c r="O12" s="153">
        <f>(O6+O7)/O10</f>
        <v/>
      </c>
      <c r="P12" s="153">
        <f>(P6+P7)/P10</f>
        <v/>
      </c>
      <c r="Q12" s="153">
        <f>(Q6+Q7)/Q10</f>
        <v/>
      </c>
    </row>
    <row r="13" ht="15" customHeight="1" s="105">
      <c r="J13" s="154" t="n"/>
      <c r="K13" s="154" t="n"/>
      <c r="L13" s="154" t="n"/>
      <c r="M13" s="154" t="n"/>
      <c r="N13" s="154" t="n"/>
      <c r="O13" s="149" t="n"/>
      <c r="P13" s="149" t="n"/>
      <c r="Q13" s="149" t="n"/>
    </row>
    <row r="14" ht="15" customHeight="1" s="105">
      <c r="A14" s="116" t="inlineStr">
        <is>
          <t>DEMAND</t>
        </is>
      </c>
      <c r="B14" s="117" t="n"/>
      <c r="C14" s="117" t="n"/>
      <c r="D14" s="117" t="n"/>
      <c r="E14" s="117" t="n"/>
      <c r="F14" s="117" t="n"/>
      <c r="G14" s="117" t="n"/>
      <c r="H14" s="117" t="n"/>
      <c r="I14" s="117" t="n"/>
      <c r="J14" s="117" t="n"/>
      <c r="K14" s="117" t="n"/>
      <c r="L14" s="117" t="n"/>
      <c r="M14" s="117" t="n"/>
      <c r="N14" s="117" t="n"/>
      <c r="O14" s="117" t="n"/>
      <c r="P14" s="117" t="n"/>
      <c r="Q14" s="117" t="n"/>
      <c r="R14" s="117" t="n"/>
    </row>
    <row r="15" ht="15" customHeight="1" s="105">
      <c r="A15" s="110" t="inlineStr">
        <is>
          <t>United States</t>
        </is>
      </c>
      <c r="B15" s="110" t="inlineStr">
        <is>
          <t>mb/d</t>
        </is>
      </c>
      <c r="C15" s="143">
        <f>EIA_Data!C$18</f>
        <v/>
      </c>
      <c r="D15" s="143">
        <f>EIA_Data!D$18</f>
        <v/>
      </c>
      <c r="E15" s="143">
        <f>EIA_Data!E$18</f>
        <v/>
      </c>
      <c r="F15" s="143">
        <f>EIA_Data!F$18</f>
        <v/>
      </c>
      <c r="G15" s="143">
        <f>EIA_Data!G$18</f>
        <v/>
      </c>
      <c r="H15" s="143">
        <f>EIA_Data!H$18</f>
        <v/>
      </c>
      <c r="I15" s="143">
        <f>EIA_Data!I$18</f>
        <v/>
      </c>
      <c r="J15" s="144">
        <f>EIA_Data!J$18</f>
        <v/>
      </c>
      <c r="K15" s="144">
        <f>EIA_Data!K$18</f>
        <v/>
      </c>
      <c r="L15" s="144">
        <f>EIA_Data!L$18</f>
        <v/>
      </c>
      <c r="M15" s="144">
        <f>EIA_Data!M$18</f>
        <v/>
      </c>
      <c r="N15" s="144">
        <f>EIA_Data!N$18</f>
        <v/>
      </c>
      <c r="O15" s="145">
        <f>EIA_Data!O$18</f>
        <v/>
      </c>
      <c r="P15" s="145">
        <f>EIA_Data!P$18</f>
        <v/>
      </c>
      <c r="Q15" s="145">
        <f>EIA_Data!Q$18</f>
        <v/>
      </c>
    </row>
    <row r="16" ht="15" customHeight="1" s="105">
      <c r="A16" s="110" t="inlineStr">
        <is>
          <t>OECD Europe</t>
        </is>
      </c>
      <c r="B16" s="110" t="inlineStr">
        <is>
          <t>mb/d</t>
        </is>
      </c>
      <c r="C16" s="143">
        <f>EIA_Data!C$19</f>
        <v/>
      </c>
      <c r="D16" s="143">
        <f>EIA_Data!D$19</f>
        <v/>
      </c>
      <c r="E16" s="143">
        <f>EIA_Data!E$19</f>
        <v/>
      </c>
      <c r="F16" s="143">
        <f>EIA_Data!F$19</f>
        <v/>
      </c>
      <c r="G16" s="143">
        <f>EIA_Data!G$19</f>
        <v/>
      </c>
      <c r="H16" s="143">
        <f>EIA_Data!H$19</f>
        <v/>
      </c>
      <c r="I16" s="143">
        <f>EIA_Data!I$19</f>
        <v/>
      </c>
      <c r="J16" s="144">
        <f>EIA_Data!J$19</f>
        <v/>
      </c>
      <c r="K16" s="144">
        <f>EIA_Data!K$19</f>
        <v/>
      </c>
      <c r="L16" s="144">
        <f>EIA_Data!L$19</f>
        <v/>
      </c>
      <c r="M16" s="144">
        <f>EIA_Data!M$19</f>
        <v/>
      </c>
      <c r="N16" s="144">
        <f>EIA_Data!N$19</f>
        <v/>
      </c>
      <c r="O16" s="145">
        <f>EIA_Data!O$19</f>
        <v/>
      </c>
      <c r="P16" s="145">
        <f>EIA_Data!P$19</f>
        <v/>
      </c>
      <c r="Q16" s="145">
        <f>EIA_Data!Q$19</f>
        <v/>
      </c>
    </row>
    <row r="17" ht="15" customHeight="1" s="105">
      <c r="A17" s="108" t="inlineStr">
        <is>
          <t>OECD total</t>
        </is>
      </c>
      <c r="B17" s="110" t="inlineStr">
        <is>
          <t>mb/d</t>
        </is>
      </c>
      <c r="C17" s="155">
        <f>EIA_Data!C$17</f>
        <v/>
      </c>
      <c r="D17" s="155">
        <f>EIA_Data!D$17</f>
        <v/>
      </c>
      <c r="E17" s="155">
        <f>EIA_Data!E$17</f>
        <v/>
      </c>
      <c r="F17" s="155">
        <f>EIA_Data!F$17</f>
        <v/>
      </c>
      <c r="G17" s="155">
        <f>EIA_Data!G$17</f>
        <v/>
      </c>
      <c r="H17" s="155">
        <f>EIA_Data!H$17</f>
        <v/>
      </c>
      <c r="I17" s="155">
        <f>EIA_Data!I$17</f>
        <v/>
      </c>
      <c r="J17" s="156">
        <f>EIA_Data!J$17</f>
        <v/>
      </c>
      <c r="K17" s="156">
        <f>EIA_Data!K$17</f>
        <v/>
      </c>
      <c r="L17" s="156">
        <f>EIA_Data!L$17</f>
        <v/>
      </c>
      <c r="M17" s="156">
        <f>EIA_Data!M$17</f>
        <v/>
      </c>
      <c r="N17" s="156">
        <f>EIA_Data!N$17</f>
        <v/>
      </c>
      <c r="O17" s="157">
        <f>EIA_Data!O$17</f>
        <v/>
      </c>
      <c r="P17" s="157">
        <f>EIA_Data!P$17</f>
        <v/>
      </c>
      <c r="Q17" s="157">
        <f>EIA_Data!Q$17</f>
        <v/>
      </c>
    </row>
    <row r="18" ht="15" customHeight="1" s="105">
      <c r="A18" s="110" t="inlineStr">
        <is>
          <t>China</t>
        </is>
      </c>
      <c r="B18" s="110" t="inlineStr">
        <is>
          <t>mb/d</t>
        </is>
      </c>
      <c r="C18" s="143">
        <f>EIA_Data!C$25</f>
        <v/>
      </c>
      <c r="D18" s="143">
        <f>EIA_Data!D$25</f>
        <v/>
      </c>
      <c r="E18" s="143">
        <f>EIA_Data!E$25</f>
        <v/>
      </c>
      <c r="F18" s="143">
        <f>EIA_Data!F$25</f>
        <v/>
      </c>
      <c r="G18" s="143">
        <f>EIA_Data!G$25</f>
        <v/>
      </c>
      <c r="H18" s="143">
        <f>EIA_Data!H$25</f>
        <v/>
      </c>
      <c r="I18" s="143">
        <f>EIA_Data!I$25</f>
        <v/>
      </c>
      <c r="J18" s="144">
        <f>EIA_Data!J$25</f>
        <v/>
      </c>
      <c r="K18" s="144">
        <f>EIA_Data!K$25</f>
        <v/>
      </c>
      <c r="L18" s="144">
        <f>EIA_Data!L$25</f>
        <v/>
      </c>
      <c r="M18" s="144">
        <f>EIA_Data!M$25</f>
        <v/>
      </c>
      <c r="N18" s="144">
        <f>EIA_Data!N$25</f>
        <v/>
      </c>
      <c r="O18" s="145">
        <f>EIA_Data!O$25</f>
        <v/>
      </c>
      <c r="P18" s="145">
        <f>EIA_Data!P$25</f>
        <v/>
      </c>
      <c r="Q18" s="145">
        <f>EIA_Data!Q$25</f>
        <v/>
      </c>
    </row>
    <row r="19" ht="15" customHeight="1" s="105">
      <c r="A19" s="110" t="inlineStr">
        <is>
          <t>Other Asia (incl. India)</t>
        </is>
      </c>
      <c r="B19" s="110" t="inlineStr">
        <is>
          <t>mb/d</t>
        </is>
      </c>
      <c r="C19" s="143">
        <f>EIA_Data!C$26</f>
        <v/>
      </c>
      <c r="D19" s="143">
        <f>EIA_Data!D$26</f>
        <v/>
      </c>
      <c r="E19" s="143">
        <f>EIA_Data!E$26</f>
        <v/>
      </c>
      <c r="F19" s="143">
        <f>EIA_Data!F$26</f>
        <v/>
      </c>
      <c r="G19" s="143">
        <f>EIA_Data!G$26</f>
        <v/>
      </c>
      <c r="H19" s="143">
        <f>EIA_Data!H$26</f>
        <v/>
      </c>
      <c r="I19" s="143">
        <f>EIA_Data!I$26</f>
        <v/>
      </c>
      <c r="J19" s="144">
        <f>EIA_Data!J$26</f>
        <v/>
      </c>
      <c r="K19" s="144">
        <f>EIA_Data!K$26</f>
        <v/>
      </c>
      <c r="L19" s="144">
        <f>EIA_Data!L$26</f>
        <v/>
      </c>
      <c r="M19" s="144">
        <f>EIA_Data!M$26</f>
        <v/>
      </c>
      <c r="N19" s="144">
        <f>EIA_Data!N$26</f>
        <v/>
      </c>
      <c r="O19" s="145">
        <f>EIA_Data!O$26</f>
        <v/>
      </c>
      <c r="P19" s="145">
        <f>EIA_Data!P$26</f>
        <v/>
      </c>
      <c r="Q19" s="145">
        <f>EIA_Data!Q$26</f>
        <v/>
      </c>
    </row>
    <row r="20" ht="15" customHeight="1" s="105">
      <c r="A20" s="108" t="inlineStr">
        <is>
          <t>Non-OECD total</t>
        </is>
      </c>
      <c r="B20" s="110" t="inlineStr">
        <is>
          <t>mb/d</t>
        </is>
      </c>
      <c r="C20" s="155">
        <f>EIA_Data!C$24</f>
        <v/>
      </c>
      <c r="D20" s="155">
        <f>EIA_Data!D$24</f>
        <v/>
      </c>
      <c r="E20" s="155">
        <f>EIA_Data!E$24</f>
        <v/>
      </c>
      <c r="F20" s="155">
        <f>EIA_Data!F$24</f>
        <v/>
      </c>
      <c r="G20" s="155">
        <f>EIA_Data!G$24</f>
        <v/>
      </c>
      <c r="H20" s="155">
        <f>EIA_Data!H$24</f>
        <v/>
      </c>
      <c r="I20" s="155">
        <f>EIA_Data!I$24</f>
        <v/>
      </c>
      <c r="J20" s="156">
        <f>EIA_Data!J$24</f>
        <v/>
      </c>
      <c r="K20" s="156">
        <f>EIA_Data!K$24</f>
        <v/>
      </c>
      <c r="L20" s="156">
        <f>EIA_Data!L$24</f>
        <v/>
      </c>
      <c r="M20" s="156">
        <f>EIA_Data!M$24</f>
        <v/>
      </c>
      <c r="N20" s="156">
        <f>EIA_Data!N$24</f>
        <v/>
      </c>
      <c r="O20" s="157">
        <f>EIA_Data!O$24</f>
        <v/>
      </c>
      <c r="P20" s="157">
        <f>EIA_Data!P$24</f>
        <v/>
      </c>
      <c r="Q20" s="157">
        <f>EIA_Data!Q$24</f>
        <v/>
      </c>
    </row>
    <row r="21" ht="15" customHeight="1" s="105">
      <c r="A21" s="108" t="inlineStr">
        <is>
          <t>World demand (EIA base)</t>
        </is>
      </c>
      <c r="B21" s="110" t="inlineStr">
        <is>
          <t>mb/d</t>
        </is>
      </c>
      <c r="C21" s="137">
        <f>C17+C20</f>
        <v/>
      </c>
      <c r="D21" s="137">
        <f>D17+D20</f>
        <v/>
      </c>
      <c r="E21" s="137">
        <f>E17+E20</f>
        <v/>
      </c>
      <c r="F21" s="137">
        <f>F17+F20</f>
        <v/>
      </c>
      <c r="G21" s="137">
        <f>G17+G20</f>
        <v/>
      </c>
      <c r="H21" s="137">
        <f>H17+H20</f>
        <v/>
      </c>
      <c r="I21" s="137">
        <f>I17+I20</f>
        <v/>
      </c>
      <c r="J21" s="146">
        <f>J17+J20</f>
        <v/>
      </c>
      <c r="K21" s="146">
        <f>K17+K20</f>
        <v/>
      </c>
      <c r="L21" s="146">
        <f>L17+L20</f>
        <v/>
      </c>
      <c r="M21" s="146">
        <f>M17+M20</f>
        <v/>
      </c>
      <c r="N21" s="146">
        <f>N17+N20</f>
        <v/>
      </c>
      <c r="O21" s="147">
        <f>O17+O20</f>
        <v/>
      </c>
      <c r="P21" s="147">
        <f>P17+P20</f>
        <v/>
      </c>
      <c r="Q21" s="147">
        <f>Q17+Q20</f>
        <v/>
      </c>
    </row>
    <row r="22" ht="15" customHeight="1" s="105">
      <c r="A22" s="110" t="inlineStr">
        <is>
          <t xml:space="preserve">  Change y/y</t>
        </is>
      </c>
      <c r="B22" s="110" t="inlineStr">
        <is>
          <t>mb/d</t>
        </is>
      </c>
      <c r="G22" s="133">
        <f>G21-C21</f>
        <v/>
      </c>
      <c r="H22" s="133">
        <f>H21-D21</f>
        <v/>
      </c>
      <c r="I22" s="133">
        <f>I21-E21</f>
        <v/>
      </c>
      <c r="J22" s="148">
        <f>J21-F21</f>
        <v/>
      </c>
      <c r="K22" s="148">
        <f>K21-G21</f>
        <v/>
      </c>
      <c r="L22" s="148">
        <f>L21-H21</f>
        <v/>
      </c>
      <c r="M22" s="148">
        <f>M21-I21</f>
        <v/>
      </c>
      <c r="N22" s="148">
        <f>N21-J21</f>
        <v/>
      </c>
      <c r="O22" s="149" t="n"/>
      <c r="P22" s="150">
        <f>P21-O21</f>
        <v/>
      </c>
      <c r="Q22" s="150">
        <f>Q21-P21</f>
        <v/>
      </c>
    </row>
    <row r="23" ht="15" customHeight="1" s="105">
      <c r="J23" s="154" t="n"/>
      <c r="K23" s="154" t="n"/>
      <c r="L23" s="154" t="n"/>
      <c r="M23" s="154" t="n"/>
      <c r="N23" s="154" t="n"/>
      <c r="O23" s="149" t="n"/>
      <c r="P23" s="149" t="n"/>
      <c r="Q23" s="149" t="n"/>
    </row>
    <row r="24" ht="15" customHeight="1" s="105">
      <c r="A24" s="116" t="inlineStr">
        <is>
          <t>ACTIVE SCENARIO</t>
        </is>
      </c>
      <c r="B24" s="117" t="n"/>
      <c r="C24" s="117" t="n"/>
      <c r="D24" s="117" t="n"/>
      <c r="E24" s="117" t="n"/>
      <c r="F24" s="117" t="n"/>
      <c r="G24" s="117" t="n"/>
      <c r="H24" s="117" t="n"/>
      <c r="I24" s="117" t="n"/>
      <c r="J24" s="117" t="n"/>
      <c r="K24" s="117" t="n"/>
      <c r="L24" s="117" t="n"/>
      <c r="M24" s="117" t="n"/>
      <c r="N24" s="117" t="n"/>
      <c r="O24" s="117" t="n"/>
      <c r="P24" s="117" t="n"/>
      <c r="Q24" s="117" t="n"/>
      <c r="R24" s="117" t="n"/>
    </row>
    <row r="25" ht="15" customHeight="1" s="105">
      <c r="A25" s="110" t="inlineStr">
        <is>
          <t>Supply adjustment</t>
        </is>
      </c>
      <c r="B25" s="110" t="inlineStr">
        <is>
          <t>mb/d</t>
        </is>
      </c>
      <c r="C25" s="133" t="n">
        <v>0</v>
      </c>
      <c r="D25" s="133" t="n">
        <v>0</v>
      </c>
      <c r="E25" s="133" t="n">
        <v>0</v>
      </c>
      <c r="F25" s="133" t="n">
        <v>0</v>
      </c>
      <c r="G25" s="133" t="n">
        <v>0</v>
      </c>
      <c r="H25" s="133" t="n">
        <v>0</v>
      </c>
      <c r="I25" s="133" t="n">
        <v>0</v>
      </c>
      <c r="J25" s="144">
        <f>Scenarios!C$61</f>
        <v/>
      </c>
      <c r="K25" s="144">
        <f>Scenarios!D$61</f>
        <v/>
      </c>
      <c r="L25" s="144">
        <f>Scenarios!E$61</f>
        <v/>
      </c>
      <c r="M25" s="144">
        <f>Scenarios!F$61</f>
        <v/>
      </c>
      <c r="N25" s="144">
        <f>Scenarios!G$61</f>
        <v/>
      </c>
      <c r="O25" s="150">
        <f>AVERAGE(C25:F25)</f>
        <v/>
      </c>
      <c r="P25" s="150">
        <f>AVERAGE(G25:J25)</f>
        <v/>
      </c>
      <c r="Q25" s="150">
        <f>AVERAGE(K25:N25)</f>
        <v/>
      </c>
      <c r="R25" s="107" t="inlineStr">
        <is>
          <t>From the Scenarios sheet: applies from 26Q4</t>
        </is>
      </c>
    </row>
    <row r="26" ht="15" customHeight="1" s="105">
      <c r="A26" s="110" t="inlineStr">
        <is>
          <t>Demand adjustment</t>
        </is>
      </c>
      <c r="B26" s="110" t="inlineStr">
        <is>
          <t>mb/d</t>
        </is>
      </c>
      <c r="C26" s="133" t="n">
        <v>0</v>
      </c>
      <c r="D26" s="133" t="n">
        <v>0</v>
      </c>
      <c r="E26" s="133" t="n">
        <v>0</v>
      </c>
      <c r="F26" s="133" t="n">
        <v>0</v>
      </c>
      <c r="G26" s="133" t="n">
        <v>0</v>
      </c>
      <c r="H26" s="133" t="n">
        <v>0</v>
      </c>
      <c r="I26" s="133" t="n">
        <v>0</v>
      </c>
      <c r="J26" s="144">
        <f>Scenarios!C$62</f>
        <v/>
      </c>
      <c r="K26" s="144">
        <f>Scenarios!D$62</f>
        <v/>
      </c>
      <c r="L26" s="144">
        <f>Scenarios!E$62</f>
        <v/>
      </c>
      <c r="M26" s="144">
        <f>Scenarios!F$62</f>
        <v/>
      </c>
      <c r="N26" s="144">
        <f>Scenarios!G$62</f>
        <v/>
      </c>
      <c r="O26" s="150">
        <f>AVERAGE(C26:F26)</f>
        <v/>
      </c>
      <c r="P26" s="150">
        <f>AVERAGE(G26:J26)</f>
        <v/>
      </c>
      <c r="Q26" s="150">
        <f>AVERAGE(K26:N26)</f>
        <v/>
      </c>
    </row>
    <row r="27" ht="15" customHeight="1" s="105">
      <c r="A27" s="108" t="inlineStr">
        <is>
          <t>Scenario supply</t>
        </is>
      </c>
      <c r="B27" s="110" t="inlineStr">
        <is>
          <t>mb/d</t>
        </is>
      </c>
      <c r="C27" s="158">
        <f>C10+C25</f>
        <v/>
      </c>
      <c r="D27" s="158">
        <f>D10+D25</f>
        <v/>
      </c>
      <c r="E27" s="158">
        <f>E10+E25</f>
        <v/>
      </c>
      <c r="F27" s="158">
        <f>F10+F25</f>
        <v/>
      </c>
      <c r="G27" s="158">
        <f>G10+G25</f>
        <v/>
      </c>
      <c r="H27" s="158">
        <f>H10+H25</f>
        <v/>
      </c>
      <c r="I27" s="158">
        <f>I10+I25</f>
        <v/>
      </c>
      <c r="J27" s="159">
        <f>J10+J25</f>
        <v/>
      </c>
      <c r="K27" s="159">
        <f>K10+K25</f>
        <v/>
      </c>
      <c r="L27" s="159">
        <f>L10+L25</f>
        <v/>
      </c>
      <c r="M27" s="159">
        <f>M10+M25</f>
        <v/>
      </c>
      <c r="N27" s="159">
        <f>N10+N25</f>
        <v/>
      </c>
      <c r="O27" s="160">
        <f>O10+O25</f>
        <v/>
      </c>
      <c r="P27" s="160">
        <f>P10+P25</f>
        <v/>
      </c>
      <c r="Q27" s="160">
        <f>Q10+Q25</f>
        <v/>
      </c>
    </row>
    <row r="28" ht="15" customHeight="1" s="105">
      <c r="A28" s="108" t="inlineStr">
        <is>
          <t>Scenario demand</t>
        </is>
      </c>
      <c r="B28" s="110" t="inlineStr">
        <is>
          <t>mb/d</t>
        </is>
      </c>
      <c r="C28" s="158">
        <f>C21+C26</f>
        <v/>
      </c>
      <c r="D28" s="158">
        <f>D21+D26</f>
        <v/>
      </c>
      <c r="E28" s="158">
        <f>E21+E26</f>
        <v/>
      </c>
      <c r="F28" s="158">
        <f>F21+F26</f>
        <v/>
      </c>
      <c r="G28" s="158">
        <f>G21+G26</f>
        <v/>
      </c>
      <c r="H28" s="158">
        <f>H21+H26</f>
        <v/>
      </c>
      <c r="I28" s="158">
        <f>I21+I26</f>
        <v/>
      </c>
      <c r="J28" s="159">
        <f>J21+J26</f>
        <v/>
      </c>
      <c r="K28" s="159">
        <f>K21+K26</f>
        <v/>
      </c>
      <c r="L28" s="159">
        <f>L21+L26</f>
        <v/>
      </c>
      <c r="M28" s="159">
        <f>M21+M26</f>
        <v/>
      </c>
      <c r="N28" s="159">
        <f>N21+N26</f>
        <v/>
      </c>
      <c r="O28" s="160">
        <f>O21+O26</f>
        <v/>
      </c>
      <c r="P28" s="160">
        <f>P21+P26</f>
        <v/>
      </c>
      <c r="Q28" s="160">
        <f>Q21+Q26</f>
        <v/>
      </c>
    </row>
    <row r="29" ht="15" customHeight="1" s="105">
      <c r="J29" s="154" t="n"/>
      <c r="K29" s="154" t="n"/>
      <c r="L29" s="154" t="n"/>
      <c r="M29" s="154" t="n"/>
      <c r="N29" s="154" t="n"/>
      <c r="O29" s="149" t="n"/>
      <c r="P29" s="149" t="n"/>
      <c r="Q29" s="149" t="n"/>
    </row>
    <row r="30" ht="15" customHeight="1" s="105">
      <c r="A30" s="116" t="inlineStr">
        <is>
          <t>BALANCE AND INVENTORIES</t>
        </is>
      </c>
      <c r="B30" s="117" t="n"/>
      <c r="C30" s="117" t="n"/>
      <c r="D30" s="117" t="n"/>
      <c r="E30" s="117" t="n"/>
      <c r="F30" s="117" t="n"/>
      <c r="G30" s="117" t="n"/>
      <c r="H30" s="117" t="n"/>
      <c r="I30" s="117" t="n"/>
      <c r="J30" s="117" t="n"/>
      <c r="K30" s="117" t="n"/>
      <c r="L30" s="117" t="n"/>
      <c r="M30" s="117" t="n"/>
      <c r="N30" s="117" t="n"/>
      <c r="O30" s="117" t="n"/>
      <c r="P30" s="117" t="n"/>
      <c r="Q30" s="117" t="n"/>
      <c r="R30" s="117" t="n"/>
    </row>
    <row r="31" ht="15" customHeight="1" s="105">
      <c r="A31" s="110" t="inlineStr">
        <is>
          <t>EIA base balance (supply − demand)</t>
        </is>
      </c>
      <c r="B31" s="110" t="inlineStr">
        <is>
          <t>mb/d</t>
        </is>
      </c>
      <c r="C31" s="133">
        <f>C10-C21</f>
        <v/>
      </c>
      <c r="D31" s="133">
        <f>D10-D21</f>
        <v/>
      </c>
      <c r="E31" s="133">
        <f>E10-E21</f>
        <v/>
      </c>
      <c r="F31" s="133">
        <f>F10-F21</f>
        <v/>
      </c>
      <c r="G31" s="133">
        <f>G10-G21</f>
        <v/>
      </c>
      <c r="H31" s="133">
        <f>H10-H21</f>
        <v/>
      </c>
      <c r="I31" s="133">
        <f>I10-I21</f>
        <v/>
      </c>
      <c r="J31" s="148">
        <f>J10-J21</f>
        <v/>
      </c>
      <c r="K31" s="148">
        <f>K10-K21</f>
        <v/>
      </c>
      <c r="L31" s="148">
        <f>L10-L21</f>
        <v/>
      </c>
      <c r="M31" s="148">
        <f>M10-M21</f>
        <v/>
      </c>
      <c r="N31" s="148">
        <f>N10-N21</f>
        <v/>
      </c>
      <c r="O31" s="150">
        <f>O10-O21</f>
        <v/>
      </c>
      <c r="P31" s="150">
        <f>P10-P21</f>
        <v/>
      </c>
      <c r="Q31" s="150">
        <f>Q10-Q21</f>
        <v/>
      </c>
    </row>
    <row r="32" ht="15" customHeight="1" s="105">
      <c r="A32" s="108" t="inlineStr">
        <is>
          <t>Scenario balance</t>
        </is>
      </c>
      <c r="B32" s="110" t="inlineStr">
        <is>
          <t>mb/d</t>
        </is>
      </c>
      <c r="C32" s="158">
        <f>C27-C28</f>
        <v/>
      </c>
      <c r="D32" s="158">
        <f>D27-D28</f>
        <v/>
      </c>
      <c r="E32" s="158">
        <f>E27-E28</f>
        <v/>
      </c>
      <c r="F32" s="158">
        <f>F27-F28</f>
        <v/>
      </c>
      <c r="G32" s="158">
        <f>G27-G28</f>
        <v/>
      </c>
      <c r="H32" s="158">
        <f>H27-H28</f>
        <v/>
      </c>
      <c r="I32" s="158">
        <f>I27-I28</f>
        <v/>
      </c>
      <c r="J32" s="159">
        <f>J27-J28</f>
        <v/>
      </c>
      <c r="K32" s="159">
        <f>K27-K28</f>
        <v/>
      </c>
      <c r="L32" s="159">
        <f>L27-L28</f>
        <v/>
      </c>
      <c r="M32" s="159">
        <f>M27-M28</f>
        <v/>
      </c>
      <c r="N32" s="159">
        <f>N27-N28</f>
        <v/>
      </c>
      <c r="O32" s="160">
        <f>O27-O28</f>
        <v/>
      </c>
      <c r="P32" s="160">
        <f>P27-P28</f>
        <v/>
      </c>
      <c r="Q32" s="160">
        <f>Q27-Q28</f>
        <v/>
      </c>
      <c r="R32" s="107" t="inlineStr">
        <is>
          <t>Negative = deficit: the world consumes more than it produces</t>
        </is>
      </c>
    </row>
    <row r="33" ht="15" customHeight="1" s="105">
      <c r="A33" s="110" t="inlineStr">
        <is>
          <t>Days in period</t>
        </is>
      </c>
      <c r="B33" s="110" t="inlineStr">
        <is>
          <t>days</t>
        </is>
      </c>
      <c r="C33" s="161" t="n">
        <v>90</v>
      </c>
      <c r="D33" s="161" t="n">
        <v>91</v>
      </c>
      <c r="E33" s="161" t="n">
        <v>92</v>
      </c>
      <c r="F33" s="161" t="n">
        <v>92</v>
      </c>
      <c r="G33" s="161" t="n">
        <v>90</v>
      </c>
      <c r="H33" s="161" t="n">
        <v>91</v>
      </c>
      <c r="I33" s="161" t="n">
        <v>92</v>
      </c>
      <c r="J33" s="162" t="n">
        <v>92</v>
      </c>
      <c r="K33" s="162" t="n">
        <v>90</v>
      </c>
      <c r="L33" s="162" t="n">
        <v>91</v>
      </c>
      <c r="M33" s="162" t="n">
        <v>92</v>
      </c>
      <c r="N33" s="162" t="n">
        <v>92</v>
      </c>
      <c r="O33" s="163" t="n">
        <v>365</v>
      </c>
      <c r="P33" s="163" t="n">
        <v>365</v>
      </c>
      <c r="Q33" s="163" t="n">
        <v>365</v>
      </c>
    </row>
    <row r="34" ht="15" customHeight="1" s="105">
      <c r="A34" s="110" t="inlineStr">
        <is>
          <t>World inventory change (scenario)</t>
        </is>
      </c>
      <c r="B34" s="110" t="inlineStr">
        <is>
          <t>mb</t>
        </is>
      </c>
      <c r="C34" s="134">
        <f>C32*C33</f>
        <v/>
      </c>
      <c r="D34" s="134">
        <f>D32*D33</f>
        <v/>
      </c>
      <c r="E34" s="134">
        <f>E32*E33</f>
        <v/>
      </c>
      <c r="F34" s="134">
        <f>F32*F33</f>
        <v/>
      </c>
      <c r="G34" s="134">
        <f>G32*G33</f>
        <v/>
      </c>
      <c r="H34" s="134">
        <f>H32*H33</f>
        <v/>
      </c>
      <c r="I34" s="134">
        <f>I32*I33</f>
        <v/>
      </c>
      <c r="J34" s="164">
        <f>J32*J33</f>
        <v/>
      </c>
      <c r="K34" s="164">
        <f>K32*K33</f>
        <v/>
      </c>
      <c r="L34" s="164">
        <f>L32*L33</f>
        <v/>
      </c>
      <c r="M34" s="164">
        <f>M32*M33</f>
        <v/>
      </c>
      <c r="N34" s="164">
        <f>N32*N33</f>
        <v/>
      </c>
      <c r="O34" s="165">
        <f>O32*O33</f>
        <v/>
      </c>
      <c r="P34" s="165">
        <f>P32*P33</f>
        <v/>
      </c>
      <c r="Q34" s="165">
        <f>Q32*Q33</f>
        <v/>
      </c>
    </row>
    <row r="35" ht="15" customHeight="1" s="105">
      <c r="A35" s="110" t="inlineStr">
        <is>
          <t>Cumulative world stock gap vs base</t>
        </is>
      </c>
      <c r="B35" s="110" t="inlineStr">
        <is>
          <t>mb</t>
        </is>
      </c>
      <c r="C35" s="134">
        <f>(C32-C31)*C33</f>
        <v/>
      </c>
      <c r="D35" s="134">
        <f>C35+(D32-D31)*D33</f>
        <v/>
      </c>
      <c r="E35" s="134">
        <f>D35+(E32-E31)*E33</f>
        <v/>
      </c>
      <c r="F35" s="134">
        <f>E35+(F32-F31)*F33</f>
        <v/>
      </c>
      <c r="G35" s="134">
        <f>F35+(G32-G31)*G33</f>
        <v/>
      </c>
      <c r="H35" s="134">
        <f>G35+(H32-H31)*H33</f>
        <v/>
      </c>
      <c r="I35" s="134">
        <f>H35+(I32-I31)*I33</f>
        <v/>
      </c>
      <c r="J35" s="164">
        <f>I35+(J32-J31)*J33</f>
        <v/>
      </c>
      <c r="K35" s="164">
        <f>J35+(K32-K31)*K33</f>
        <v/>
      </c>
      <c r="L35" s="164">
        <f>K35+(L32-L31)*L33</f>
        <v/>
      </c>
      <c r="M35" s="164">
        <f>L35+(M32-M31)*M33</f>
        <v/>
      </c>
      <c r="N35" s="164">
        <f>M35+(N32-N31)*N33</f>
        <v/>
      </c>
      <c r="O35" s="165">
        <f>F35</f>
        <v/>
      </c>
      <c r="P35" s="165">
        <f>J35</f>
        <v/>
      </c>
      <c r="Q35" s="165">
        <f>N35</f>
        <v/>
      </c>
    </row>
    <row r="36" ht="15" customHeight="1" s="105">
      <c r="A36" s="110" t="inlineStr">
        <is>
          <t>OECD commercial stocks – EIA base</t>
        </is>
      </c>
      <c r="B36" s="110" t="inlineStr">
        <is>
          <t>mb</t>
        </is>
      </c>
      <c r="C36" s="166">
        <f>EIA_Data!C$36</f>
        <v/>
      </c>
      <c r="D36" s="166">
        <f>EIA_Data!D$36</f>
        <v/>
      </c>
      <c r="E36" s="166">
        <f>EIA_Data!E$36</f>
        <v/>
      </c>
      <c r="F36" s="166">
        <f>EIA_Data!F$36</f>
        <v/>
      </c>
      <c r="G36" s="166">
        <f>EIA_Data!G$36</f>
        <v/>
      </c>
      <c r="H36" s="166">
        <f>EIA_Data!H$36</f>
        <v/>
      </c>
      <c r="I36" s="166">
        <f>EIA_Data!I$36</f>
        <v/>
      </c>
      <c r="J36" s="167">
        <f>EIA_Data!J$36</f>
        <v/>
      </c>
      <c r="K36" s="167">
        <f>EIA_Data!K$36</f>
        <v/>
      </c>
      <c r="L36" s="167">
        <f>EIA_Data!L$36</f>
        <v/>
      </c>
      <c r="M36" s="167">
        <f>EIA_Data!M$36</f>
        <v/>
      </c>
      <c r="N36" s="167">
        <f>EIA_Data!N$36</f>
        <v/>
      </c>
      <c r="O36" s="168">
        <f>EIA_Data!O$36</f>
        <v/>
      </c>
      <c r="P36" s="168">
        <f>EIA_Data!P$36</f>
        <v/>
      </c>
      <c r="Q36" s="168">
        <f>EIA_Data!Q$36</f>
        <v/>
      </c>
    </row>
    <row r="37" ht="15" customHeight="1" s="105">
      <c r="A37" s="108" t="inlineStr">
        <is>
          <t>OECD commercial stocks – scenario</t>
        </is>
      </c>
      <c r="B37" s="110" t="inlineStr">
        <is>
          <t>mb</t>
        </is>
      </c>
      <c r="C37" s="169">
        <f>C36+C35*Scenarios!C$10</f>
        <v/>
      </c>
      <c r="D37" s="169">
        <f>D36+D35*Scenarios!C$10</f>
        <v/>
      </c>
      <c r="E37" s="169">
        <f>E36+E35*Scenarios!C$10</f>
        <v/>
      </c>
      <c r="F37" s="169">
        <f>F36+F35*Scenarios!C$10</f>
        <v/>
      </c>
      <c r="G37" s="169">
        <f>G36+G35*Scenarios!C$10</f>
        <v/>
      </c>
      <c r="H37" s="169">
        <f>H36+H35*Scenarios!C$10</f>
        <v/>
      </c>
      <c r="I37" s="169">
        <f>I36+I35*Scenarios!C$10</f>
        <v/>
      </c>
      <c r="J37" s="170">
        <f>J36+J35*Scenarios!C$10</f>
        <v/>
      </c>
      <c r="K37" s="170">
        <f>K36+K35*Scenarios!C$10</f>
        <v/>
      </c>
      <c r="L37" s="170">
        <f>L36+L35*Scenarios!C$10</f>
        <v/>
      </c>
      <c r="M37" s="170">
        <f>M36+M35*Scenarios!C$10</f>
        <v/>
      </c>
      <c r="N37" s="170">
        <f>N36+N35*Scenarios!C$10</f>
        <v/>
      </c>
      <c r="O37" s="171">
        <f>O36+O35*Scenarios!C$10</f>
        <v/>
      </c>
      <c r="P37" s="171">
        <f>P36+P35*Scenarios!C$10</f>
        <v/>
      </c>
      <c r="Q37" s="171">
        <f>Q36+Q35*Scenarios!C$10</f>
        <v/>
      </c>
      <c r="R37" s="107" t="inlineStr">
        <is>
          <t>EIA base + OECD share of the cumulative gap</t>
        </is>
      </c>
    </row>
    <row r="38" ht="15" customHeight="1" s="105">
      <c r="A38" s="110" t="inlineStr">
        <is>
          <t>Read</t>
        </is>
      </c>
      <c r="B38" s="110" t="n"/>
      <c r="C38" s="172">
        <f>IF(C32&lt;0,"Deficit","Surplus")</f>
        <v/>
      </c>
      <c r="D38" s="172">
        <f>IF(D32&lt;0,"Deficit","Surplus")</f>
        <v/>
      </c>
      <c r="E38" s="172">
        <f>IF(E32&lt;0,"Deficit","Surplus")</f>
        <v/>
      </c>
      <c r="F38" s="172">
        <f>IF(F32&lt;0,"Deficit","Surplus")</f>
        <v/>
      </c>
      <c r="G38" s="172">
        <f>IF(G32&lt;0,"Deficit","Surplus")</f>
        <v/>
      </c>
      <c r="H38" s="172">
        <f>IF(H32&lt;0,"Deficit","Surplus")</f>
        <v/>
      </c>
      <c r="I38" s="172">
        <f>IF(I32&lt;0,"Deficit","Surplus")</f>
        <v/>
      </c>
      <c r="J38" s="173">
        <f>IF(J32&lt;0,"Deficit","Surplus")</f>
        <v/>
      </c>
      <c r="K38" s="173">
        <f>IF(K32&lt;0,"Deficit","Surplus")</f>
        <v/>
      </c>
      <c r="L38" s="173">
        <f>IF(L32&lt;0,"Deficit","Surplus")</f>
        <v/>
      </c>
      <c r="M38" s="173">
        <f>IF(M32&lt;0,"Deficit","Surplus")</f>
        <v/>
      </c>
      <c r="N38" s="173">
        <f>IF(N32&lt;0,"Deficit","Surplus")</f>
        <v/>
      </c>
      <c r="O38" s="174">
        <f>IF(O32&lt;0,"Deficit","Surplus")</f>
        <v/>
      </c>
      <c r="P38" s="174">
        <f>IF(P32&lt;0,"Deficit","Surplus")</f>
        <v/>
      </c>
      <c r="Q38" s="174">
        <f>IF(Q32&lt;0,"Deficit","Surplus")</f>
        <v/>
      </c>
    </row>
    <row r="39" ht="15" customHeight="1" s="105">
      <c r="J39" s="154" t="n"/>
      <c r="K39" s="154" t="n"/>
      <c r="L39" s="154" t="n"/>
      <c r="M39" s="154" t="n"/>
      <c r="N39" s="154" t="n"/>
      <c r="O39" s="149" t="n"/>
      <c r="P39" s="149" t="n"/>
      <c r="Q39" s="149" t="n"/>
    </row>
    <row r="40" ht="15" customHeight="1" s="105">
      <c r="A40" s="116" t="inlineStr">
        <is>
          <t>PRICES</t>
        </is>
      </c>
      <c r="B40" s="117" t="n"/>
      <c r="C40" s="117" t="n"/>
      <c r="D40" s="117" t="n"/>
      <c r="E40" s="117" t="n"/>
      <c r="F40" s="117" t="n"/>
      <c r="G40" s="117" t="n"/>
      <c r="H40" s="117" t="n"/>
      <c r="I40" s="117" t="n"/>
      <c r="J40" s="117" t="n"/>
      <c r="K40" s="117" t="n"/>
      <c r="L40" s="117" t="n"/>
      <c r="M40" s="117" t="n"/>
      <c r="N40" s="117" t="n"/>
      <c r="O40" s="117" t="n"/>
      <c r="P40" s="117" t="n"/>
      <c r="Q40" s="117" t="n"/>
      <c r="R40" s="117" t="n"/>
    </row>
    <row r="41" ht="15" customHeight="1" s="105">
      <c r="A41" s="110" t="inlineStr">
        <is>
          <t>Brent – EIA forecast</t>
        </is>
      </c>
      <c r="B41" s="110" t="inlineStr">
        <is>
          <t>$/bbl</t>
        </is>
      </c>
      <c r="C41" s="118">
        <f>EIA_Data!C$40</f>
        <v/>
      </c>
      <c r="D41" s="118">
        <f>EIA_Data!D$40</f>
        <v/>
      </c>
      <c r="E41" s="118">
        <f>EIA_Data!E$40</f>
        <v/>
      </c>
      <c r="F41" s="118">
        <f>EIA_Data!F$40</f>
        <v/>
      </c>
      <c r="G41" s="118">
        <f>EIA_Data!G$40</f>
        <v/>
      </c>
      <c r="H41" s="118">
        <f>EIA_Data!H$40</f>
        <v/>
      </c>
      <c r="I41" s="118">
        <f>EIA_Data!I$40</f>
        <v/>
      </c>
      <c r="J41" s="175">
        <f>EIA_Data!J$40</f>
        <v/>
      </c>
      <c r="K41" s="175">
        <f>EIA_Data!K$40</f>
        <v/>
      </c>
      <c r="L41" s="175">
        <f>EIA_Data!L$40</f>
        <v/>
      </c>
      <c r="M41" s="175">
        <f>EIA_Data!M$40</f>
        <v/>
      </c>
      <c r="N41" s="175">
        <f>EIA_Data!N$40</f>
        <v/>
      </c>
      <c r="O41" s="176">
        <f>EIA_Data!O$40</f>
        <v/>
      </c>
      <c r="P41" s="176">
        <f>EIA_Data!P$40</f>
        <v/>
      </c>
      <c r="Q41" s="176">
        <f>EIA_Data!Q$40</f>
        <v/>
      </c>
    </row>
    <row r="42" ht="15" customHeight="1" s="105">
      <c r="A42" s="110" t="inlineStr">
        <is>
          <t>WTI – EIA forecast</t>
        </is>
      </c>
      <c r="B42" s="110" t="inlineStr">
        <is>
          <t>$/bbl</t>
        </is>
      </c>
      <c r="C42" s="118">
        <f>EIA_Data!C$41</f>
        <v/>
      </c>
      <c r="D42" s="118">
        <f>EIA_Data!D$41</f>
        <v/>
      </c>
      <c r="E42" s="118">
        <f>EIA_Data!E$41</f>
        <v/>
      </c>
      <c r="F42" s="118">
        <f>EIA_Data!F$41</f>
        <v/>
      </c>
      <c r="G42" s="118">
        <f>EIA_Data!G$41</f>
        <v/>
      </c>
      <c r="H42" s="118">
        <f>EIA_Data!H$41</f>
        <v/>
      </c>
      <c r="I42" s="118">
        <f>EIA_Data!I$41</f>
        <v/>
      </c>
      <c r="J42" s="175">
        <f>EIA_Data!J$41</f>
        <v/>
      </c>
      <c r="K42" s="175">
        <f>EIA_Data!K$41</f>
        <v/>
      </c>
      <c r="L42" s="175">
        <f>EIA_Data!L$41</f>
        <v/>
      </c>
      <c r="M42" s="175">
        <f>EIA_Data!M$41</f>
        <v/>
      </c>
      <c r="N42" s="175">
        <f>EIA_Data!N$41</f>
        <v/>
      </c>
      <c r="O42" s="176">
        <f>EIA_Data!O$41</f>
        <v/>
      </c>
      <c r="P42" s="176">
        <f>EIA_Data!P$41</f>
        <v/>
      </c>
      <c r="Q42" s="176">
        <f>EIA_Data!Q$41</f>
        <v/>
      </c>
    </row>
    <row r="43" ht="15" customHeight="1" s="105">
      <c r="A43" s="110" t="inlineStr">
        <is>
          <t>Scenario risk premium</t>
        </is>
      </c>
      <c r="B43" s="110" t="inlineStr">
        <is>
          <t>$/bbl</t>
        </is>
      </c>
      <c r="C43" s="131" t="n">
        <v>0</v>
      </c>
      <c r="D43" s="131" t="n">
        <v>0</v>
      </c>
      <c r="E43" s="131" t="n">
        <v>0</v>
      </c>
      <c r="F43" s="131" t="n">
        <v>0</v>
      </c>
      <c r="G43" s="131" t="n">
        <v>0</v>
      </c>
      <c r="H43" s="131" t="n">
        <v>0</v>
      </c>
      <c r="I43" s="131" t="n">
        <v>0</v>
      </c>
      <c r="J43" s="177">
        <f>Scenarios!C$63</f>
        <v/>
      </c>
      <c r="K43" s="177">
        <f>Scenarios!D$63</f>
        <v/>
      </c>
      <c r="L43" s="177">
        <f>Scenarios!E$63</f>
        <v/>
      </c>
      <c r="M43" s="177">
        <f>Scenarios!F$63</f>
        <v/>
      </c>
      <c r="N43" s="177">
        <f>Scenarios!G$63</f>
        <v/>
      </c>
      <c r="O43" s="178">
        <f>AVERAGE(C43:F43)</f>
        <v/>
      </c>
      <c r="P43" s="178">
        <f>AVERAGE(G43:J43)</f>
        <v/>
      </c>
      <c r="Q43" s="178">
        <f>AVERAGE(K43:N43)</f>
        <v/>
      </c>
    </row>
    <row r="44" ht="15" customHeight="1" s="105">
      <c r="A44" s="108" t="inlineStr">
        <is>
          <t>Brent – scenario</t>
        </is>
      </c>
      <c r="B44" s="110" t="inlineStr">
        <is>
          <t>$/bbl</t>
        </is>
      </c>
      <c r="C44" s="120">
        <f>C41-Scenarios!C$9*(C37-C36)/100+C43</f>
        <v/>
      </c>
      <c r="D44" s="120">
        <f>D41-Scenarios!C$9*(D37-D36)/100+D43</f>
        <v/>
      </c>
      <c r="E44" s="120">
        <f>E41-Scenarios!C$9*(E37-E36)/100+E43</f>
        <v/>
      </c>
      <c r="F44" s="120">
        <f>F41-Scenarios!C$9*(F37-F36)/100+F43</f>
        <v/>
      </c>
      <c r="G44" s="120">
        <f>G41-Scenarios!C$9*(G37-G36)/100+G43</f>
        <v/>
      </c>
      <c r="H44" s="120">
        <f>H41-Scenarios!C$9*(H37-H36)/100+H43</f>
        <v/>
      </c>
      <c r="I44" s="120">
        <f>I41-Scenarios!C$9*(I37-I36)/100+I43</f>
        <v/>
      </c>
      <c r="J44" s="179">
        <f>J41-Scenarios!C$9*(J37-J36)/100+J43</f>
        <v/>
      </c>
      <c r="K44" s="179">
        <f>K41-Scenarios!C$9*(K37-K36)/100+K43</f>
        <v/>
      </c>
      <c r="L44" s="179">
        <f>L41-Scenarios!C$9*(L37-L36)/100+L43</f>
        <v/>
      </c>
      <c r="M44" s="179">
        <f>M41-Scenarios!C$9*(M37-M36)/100+M43</f>
        <v/>
      </c>
      <c r="N44" s="179">
        <f>N41-Scenarios!C$9*(N37-N36)/100+N43</f>
        <v/>
      </c>
      <c r="O44" s="180">
        <f>O41+AVERAGE(C44:F44)-AVERAGE(C41:F41)</f>
        <v/>
      </c>
      <c r="P44" s="180">
        <f>P41+AVERAGE(G44:J44)-AVERAGE(G41:J41)</f>
        <v/>
      </c>
      <c r="Q44" s="180">
        <f>Q41+AVERAGE(K44:N44)-AVERAGE(K41:N41)</f>
        <v/>
      </c>
      <c r="R44" s="107" t="inlineStr">
        <is>
          <t>Model: EIA base − elasticity × OECD stock gap + premium (see Scenarios)</t>
        </is>
      </c>
    </row>
    <row r="45" ht="15" customHeight="1" s="105">
      <c r="A45" s="108" t="inlineStr">
        <is>
          <t>WTI – scenario</t>
        </is>
      </c>
      <c r="B45" s="110" t="inlineStr">
        <is>
          <t>$/bbl</t>
        </is>
      </c>
      <c r="C45" s="120">
        <f>C44-(C41-C42)</f>
        <v/>
      </c>
      <c r="D45" s="120">
        <f>D44-(D41-D42)</f>
        <v/>
      </c>
      <c r="E45" s="120">
        <f>E44-(E41-E42)</f>
        <v/>
      </c>
      <c r="F45" s="120">
        <f>F44-(F41-F42)</f>
        <v/>
      </c>
      <c r="G45" s="120">
        <f>G44-(G41-G42)</f>
        <v/>
      </c>
      <c r="H45" s="120">
        <f>H44-(H41-H42)</f>
        <v/>
      </c>
      <c r="I45" s="120">
        <f>I44-(I41-I42)</f>
        <v/>
      </c>
      <c r="J45" s="179">
        <f>J44-(J41-J42)</f>
        <v/>
      </c>
      <c r="K45" s="179">
        <f>K44-(K41-K42)</f>
        <v/>
      </c>
      <c r="L45" s="179">
        <f>L44-(L41-L42)</f>
        <v/>
      </c>
      <c r="M45" s="179">
        <f>M44-(M41-M42)</f>
        <v/>
      </c>
      <c r="N45" s="179">
        <f>N44-(N41-N42)</f>
        <v/>
      </c>
      <c r="O45" s="180">
        <f>O42+AVERAGE(C45:F45)-AVERAGE(C42:F42)</f>
        <v/>
      </c>
      <c r="P45" s="180">
        <f>P42+AVERAGE(G45:J45)-AVERAGE(G42:J42)</f>
        <v/>
      </c>
      <c r="Q45" s="180">
        <f>Q42+AVERAGE(K45:N45)-AVERAGE(K42:N42)</f>
        <v/>
      </c>
    </row>
    <row r="47" ht="15" customHeight="1" s="105">
      <c r="A47" s="116" t="inlineStr">
        <is>
          <t>INDICATORS</t>
        </is>
      </c>
      <c r="B47" s="117" t="n"/>
      <c r="C47" s="117" t="n"/>
      <c r="D47" s="117" t="n"/>
      <c r="E47" s="117" t="n"/>
      <c r="F47" s="117" t="n"/>
      <c r="G47" s="117" t="n"/>
      <c r="H47" s="117" t="n"/>
      <c r="I47" s="117" t="n"/>
      <c r="J47" s="117" t="n"/>
      <c r="K47" s="117" t="n"/>
      <c r="L47" s="117" t="n"/>
      <c r="M47" s="117" t="n"/>
      <c r="N47" s="117" t="n"/>
      <c r="O47" s="117" t="n"/>
      <c r="P47" s="117" t="n"/>
      <c r="Q47" s="117" t="n"/>
      <c r="R47" s="117" t="n"/>
    </row>
    <row r="48" ht="15" customHeight="1" s="105">
      <c r="A48" s="110" t="inlineStr">
        <is>
          <t>First surplus quarter from 26Q4 (scenario)</t>
        </is>
      </c>
      <c r="C48" s="108">
        <f>IFERROR(INDEX($J$4:$N$4,MATCH(TRUE(),INDEX($J$32:$N$32&gt;0,0),0)),"beyond 27Q4")</f>
        <v/>
      </c>
      <c r="R48" s="107" t="inlineStr">
        <is>
          <t>When the market starts rebuilding inventories</t>
        </is>
      </c>
    </row>
    <row r="49" ht="15" customHeight="1" s="105">
      <c r="A49" s="110" t="inlineStr">
        <is>
          <t>Deficit quarters in 2026 (scenario)</t>
        </is>
      </c>
      <c r="C49" s="181">
        <f>COUNTIF(G32:J32,"&lt;0")</f>
        <v/>
      </c>
    </row>
    <row r="50" ht="15" customHeight="1" s="105">
      <c r="A50" s="110" t="inlineStr">
        <is>
          <t>Cumulative 2026 deficit (scenario)</t>
        </is>
      </c>
      <c r="B50" s="110" t="inlineStr">
        <is>
          <t>mb</t>
        </is>
      </c>
      <c r="C50" s="169">
        <f>SUM(G34:J34)</f>
        <v/>
      </c>
    </row>
    <row r="51" ht="15" customHeight="1" s="105">
      <c r="A51" s="110" t="inlineStr">
        <is>
          <t>2027 inventory rebuild (scenario)</t>
        </is>
      </c>
      <c r="B51" s="110" t="inlineStr">
        <is>
          <t>mb</t>
        </is>
      </c>
      <c r="C51" s="169">
        <f>SUM(K34:N34)</f>
        <v/>
      </c>
    </row>
    <row r="52" ht="15" customHeight="1" s="105">
      <c r="A52" s="110" t="inlineStr">
        <is>
          <t>Reference: OPEC+ crude Sep-26 (IEA)</t>
        </is>
      </c>
      <c r="B52" s="110" t="inlineStr">
        <is>
          <t>mb/d</t>
        </is>
      </c>
      <c r="P52" s="143">
        <f>'OPEC+'!C26</f>
        <v/>
      </c>
      <c r="R52" s="107" t="inlineStr">
        <is>
          <t>Different scope from EIA's OPEC: includes Russia and other allies</t>
        </is>
      </c>
    </row>
  </sheetData>
  <conditionalFormatting sqref="C31:Q31">
    <cfRule type="cellIs" rank="0" priority="2" equalAverage="0" operator="lessThan" aboveAverage="0" dxfId="0" text="" percent="0" bottom="0">
      <formula>0</formula>
    </cfRule>
    <cfRule type="cellIs" rank="0" priority="3" equalAverage="0" operator="greaterThan" aboveAverage="0" dxfId="1" text="" percent="0" bottom="0">
      <formula>0</formula>
    </cfRule>
  </conditionalFormatting>
  <conditionalFormatting sqref="C32:Q32">
    <cfRule type="cellIs" rank="0" priority="4" equalAverage="0" operator="lessThan" aboveAverage="0" dxfId="0" text="" percent="0" bottom="0">
      <formula>0</formula>
    </cfRule>
    <cfRule type="cellIs" rank="0" priority="5" equalAverage="0" operator="greaterThan" aboveAverage="0" dxfId="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R4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104" min="1" max="1"/>
    <col width="7" customWidth="1" style="104" min="2" max="2"/>
    <col width="8.5" customWidth="1" style="104" min="3" max="17"/>
    <col width="24" customWidth="1" style="104" min="18" max="18"/>
  </cols>
  <sheetData>
    <row r="1" ht="17.25" customHeight="1" s="105">
      <c r="A1" s="106" t="inlineStr">
        <is>
          <t>EIA Short-Term Energy Outlook – October 2026 (official data)</t>
        </is>
      </c>
    </row>
    <row r="2" ht="15" customHeight="1" s="105">
      <c r="A2" s="107" t="inlineStr">
        <is>
          <t>Copied from EIA tables 3a and 2 (model completed Oct 1, 2026). mb/d unless stated. Cream fill = forecast.</t>
        </is>
      </c>
    </row>
    <row r="4" ht="15" customHeight="1" s="105">
      <c r="A4" s="122" t="inlineStr">
        <is>
          <t>Series</t>
        </is>
      </c>
      <c r="B4" s="122" t="inlineStr">
        <is>
          <t>Unit</t>
        </is>
      </c>
      <c r="C4" s="122" t="inlineStr">
        <is>
          <t>25Q1</t>
        </is>
      </c>
      <c r="D4" s="122" t="inlineStr">
        <is>
          <t>25Q2</t>
        </is>
      </c>
      <c r="E4" s="122" t="inlineStr">
        <is>
          <t>25Q3</t>
        </is>
      </c>
      <c r="F4" s="122" t="inlineStr">
        <is>
          <t>25Q4</t>
        </is>
      </c>
      <c r="G4" s="122" t="inlineStr">
        <is>
          <t>26Q1</t>
        </is>
      </c>
      <c r="H4" s="122" t="inlineStr">
        <is>
          <t>26Q2</t>
        </is>
      </c>
      <c r="I4" s="122" t="inlineStr">
        <is>
          <t>26Q3</t>
        </is>
      </c>
      <c r="J4" s="122" t="inlineStr">
        <is>
          <t>26Q4</t>
        </is>
      </c>
      <c r="K4" s="122" t="inlineStr">
        <is>
          <t>27Q1</t>
        </is>
      </c>
      <c r="L4" s="122" t="inlineStr">
        <is>
          <t>27Q2</t>
        </is>
      </c>
      <c r="M4" s="122" t="inlineStr">
        <is>
          <t>27Q3</t>
        </is>
      </c>
      <c r="N4" s="122" t="inlineStr">
        <is>
          <t>27Q4</t>
        </is>
      </c>
      <c r="O4" s="122" t="inlineStr">
        <is>
          <t>2025</t>
        </is>
      </c>
      <c r="P4" s="122" t="inlineStr">
        <is>
          <t>2026</t>
        </is>
      </c>
      <c r="Q4" s="122" t="inlineStr">
        <is>
          <t>2027</t>
        </is>
      </c>
      <c r="R4" s="122" t="inlineStr">
        <is>
          <t>Source</t>
        </is>
      </c>
    </row>
    <row r="5" ht="15" customHeight="1" s="105">
      <c r="A5" s="116" t="inlineStr">
        <is>
          <t>PRODUCTION</t>
        </is>
      </c>
      <c r="B5" s="117" t="n"/>
      <c r="C5" s="117" t="n"/>
      <c r="D5" s="117" t="n"/>
      <c r="E5" s="117" t="n"/>
      <c r="F5" s="117" t="n"/>
      <c r="G5" s="117" t="n"/>
      <c r="H5" s="117" t="n"/>
      <c r="I5" s="117" t="n"/>
      <c r="J5" s="117" t="n"/>
      <c r="K5" s="117" t="n"/>
      <c r="L5" s="117" t="n"/>
      <c r="M5" s="117" t="n"/>
      <c r="N5" s="117" t="n"/>
      <c r="O5" s="117" t="n"/>
      <c r="P5" s="117" t="n"/>
      <c r="Q5" s="117" t="n"/>
      <c r="R5" s="117" t="n"/>
    </row>
    <row r="6" ht="15" customHeight="1" s="105">
      <c r="A6" s="108" t="inlineStr">
        <is>
          <t>World production</t>
        </is>
      </c>
      <c r="B6" s="110" t="inlineStr">
        <is>
          <t>mb/d</t>
        </is>
      </c>
      <c r="C6" s="182" t="n">
        <v>103.58</v>
      </c>
      <c r="D6" s="182" t="n">
        <v>105.19</v>
      </c>
      <c r="E6" s="182" t="n">
        <v>107.9</v>
      </c>
      <c r="F6" s="182" t="n">
        <v>108.42</v>
      </c>
      <c r="G6" s="182" t="n">
        <v>103.66</v>
      </c>
      <c r="H6" s="182" t="n">
        <v>96.48999999999999</v>
      </c>
      <c r="I6" s="182" t="n">
        <v>101.25</v>
      </c>
      <c r="J6" s="183" t="n">
        <v>102.97</v>
      </c>
      <c r="K6" s="183" t="n">
        <v>106.11</v>
      </c>
      <c r="L6" s="183" t="n">
        <v>109.55</v>
      </c>
      <c r="M6" s="183" t="n">
        <v>110.92</v>
      </c>
      <c r="N6" s="183" t="n">
        <v>111.55</v>
      </c>
      <c r="O6" s="182" t="n">
        <v>106.29</v>
      </c>
      <c r="P6" s="182" t="n">
        <v>101.09</v>
      </c>
      <c r="Q6" s="182" t="n">
        <v>109.55</v>
      </c>
      <c r="R6" s="107" t="inlineStr">
        <is>
          <t>EIA STEO Oct-2026, table 3a</t>
        </is>
      </c>
    </row>
    <row r="7" ht="15" customHeight="1" s="105">
      <c r="A7" s="110" t="inlineStr">
        <is>
          <t xml:space="preserve">  Crude oil</t>
        </is>
      </c>
      <c r="B7" s="110" t="inlineStr">
        <is>
          <t>mb/d</t>
        </is>
      </c>
      <c r="C7" s="182" t="n">
        <v>77.25</v>
      </c>
      <c r="D7" s="182" t="n">
        <v>78.03</v>
      </c>
      <c r="E7" s="182" t="n">
        <v>80</v>
      </c>
      <c r="F7" s="182" t="n">
        <v>80.69</v>
      </c>
      <c r="G7" s="182" t="n">
        <v>77.33</v>
      </c>
      <c r="H7" s="182" t="n">
        <v>71.56999999999999</v>
      </c>
      <c r="I7" s="182" t="n">
        <v>75.69</v>
      </c>
      <c r="J7" s="183" t="n">
        <v>77.02</v>
      </c>
      <c r="K7" s="183" t="n">
        <v>79.59999999999999</v>
      </c>
      <c r="L7" s="183" t="n">
        <v>81.3</v>
      </c>
      <c r="M7" s="183" t="n">
        <v>82.2</v>
      </c>
      <c r="N7" s="183" t="n">
        <v>82.86</v>
      </c>
      <c r="O7" s="182" t="n">
        <v>79</v>
      </c>
      <c r="P7" s="182" t="n">
        <v>75.40000000000001</v>
      </c>
      <c r="Q7" s="182" t="n">
        <v>81.5</v>
      </c>
      <c r="R7" s="107" t="inlineStr">
        <is>
          <t>EIA STEO Oct-2026, table 3a</t>
        </is>
      </c>
    </row>
    <row r="8" ht="15" customHeight="1" s="105">
      <c r="A8" s="110" t="inlineStr">
        <is>
          <t xml:space="preserve">  Other liquids</t>
        </is>
      </c>
      <c r="B8" s="110" t="inlineStr">
        <is>
          <t>mb/d</t>
        </is>
      </c>
      <c r="C8" s="182" t="n">
        <v>26.33</v>
      </c>
      <c r="D8" s="182" t="n">
        <v>27.16</v>
      </c>
      <c r="E8" s="182" t="n">
        <v>27.9</v>
      </c>
      <c r="F8" s="182" t="n">
        <v>27.73</v>
      </c>
      <c r="G8" s="182" t="n">
        <v>26.33</v>
      </c>
      <c r="H8" s="182" t="n">
        <v>24.92</v>
      </c>
      <c r="I8" s="182" t="n">
        <v>25.56</v>
      </c>
      <c r="J8" s="183" t="n">
        <v>25.95</v>
      </c>
      <c r="K8" s="183" t="n">
        <v>26.51</v>
      </c>
      <c r="L8" s="183" t="n">
        <v>28.25</v>
      </c>
      <c r="M8" s="183" t="n">
        <v>28.72</v>
      </c>
      <c r="N8" s="183" t="n">
        <v>28.69</v>
      </c>
      <c r="O8" s="182" t="n">
        <v>27.29</v>
      </c>
      <c r="P8" s="182" t="n">
        <v>25.69</v>
      </c>
      <c r="Q8" s="182" t="n">
        <v>28.05</v>
      </c>
      <c r="R8" s="107" t="inlineStr">
        <is>
          <t>EIA STEO Oct-2026, table 3a</t>
        </is>
      </c>
    </row>
    <row r="9" ht="15" customHeight="1" s="105">
      <c r="A9" s="108" t="inlineStr">
        <is>
          <t>OPEC total</t>
        </is>
      </c>
      <c r="B9" s="110" t="inlineStr">
        <is>
          <t>mb/d</t>
        </is>
      </c>
      <c r="C9" s="182" t="n">
        <v>28.67</v>
      </c>
      <c r="D9" s="182" t="n">
        <v>29.11</v>
      </c>
      <c r="E9" s="182" t="n">
        <v>29.53</v>
      </c>
      <c r="F9" s="182" t="n">
        <v>30.01</v>
      </c>
      <c r="G9" s="182" t="n">
        <v>27.46</v>
      </c>
      <c r="H9" s="182" t="n">
        <v>20.35</v>
      </c>
      <c r="I9" s="182" t="n">
        <v>23.58</v>
      </c>
      <c r="J9" s="183" t="n">
        <v>24.38</v>
      </c>
      <c r="K9" s="183" t="n">
        <v>26.87</v>
      </c>
      <c r="L9" s="183" t="n">
        <v>29.49</v>
      </c>
      <c r="M9" s="183" t="n">
        <v>30.1</v>
      </c>
      <c r="N9" s="183" t="n">
        <v>30.21</v>
      </c>
      <c r="O9" s="182" t="n">
        <v>29.33</v>
      </c>
      <c r="P9" s="182" t="n">
        <v>23.93</v>
      </c>
      <c r="Q9" s="182" t="n">
        <v>29.18</v>
      </c>
      <c r="R9" s="107" t="inlineStr">
        <is>
          <t>EIA STEO Oct-2026, table 3a</t>
        </is>
      </c>
    </row>
    <row r="10" ht="15" customHeight="1" s="105">
      <c r="A10" s="110" t="inlineStr">
        <is>
          <t xml:space="preserve">  OPEC crude</t>
        </is>
      </c>
      <c r="B10" s="110" t="inlineStr">
        <is>
          <t>mb/d</t>
        </is>
      </c>
      <c r="C10" s="182" t="n">
        <v>24.04</v>
      </c>
      <c r="D10" s="182" t="n">
        <v>24.46</v>
      </c>
      <c r="E10" s="182" t="n">
        <v>24.82</v>
      </c>
      <c r="F10" s="182" t="n">
        <v>25.19</v>
      </c>
      <c r="G10" s="182" t="n">
        <v>23.08</v>
      </c>
      <c r="H10" s="182" t="n">
        <v>17.3</v>
      </c>
      <c r="I10" s="182" t="n">
        <v>20.41</v>
      </c>
      <c r="J10" s="183" t="n">
        <v>20.98</v>
      </c>
      <c r="K10" s="183" t="n">
        <v>22.74</v>
      </c>
      <c r="L10" s="183" t="n">
        <v>24.65</v>
      </c>
      <c r="M10" s="183" t="n">
        <v>25.1</v>
      </c>
      <c r="N10" s="183" t="n">
        <v>25.15</v>
      </c>
      <c r="O10" s="182" t="n">
        <v>24.63</v>
      </c>
      <c r="P10" s="182" t="n">
        <v>20.44</v>
      </c>
      <c r="Q10" s="182" t="n">
        <v>24.42</v>
      </c>
      <c r="R10" s="107" t="inlineStr">
        <is>
          <t>EIA STEO Oct-2026, table 3a</t>
        </is>
      </c>
    </row>
    <row r="11" ht="15" customHeight="1" s="105">
      <c r="A11" s="110" t="inlineStr">
        <is>
          <t xml:space="preserve">  OPEC other liquids</t>
        </is>
      </c>
      <c r="B11" s="110" t="inlineStr">
        <is>
          <t>mb/d</t>
        </is>
      </c>
      <c r="C11" s="182" t="n">
        <v>4.63</v>
      </c>
      <c r="D11" s="182" t="n">
        <v>4.65</v>
      </c>
      <c r="E11" s="182" t="n">
        <v>4.71</v>
      </c>
      <c r="F11" s="182" t="n">
        <v>4.82</v>
      </c>
      <c r="G11" s="182" t="n">
        <v>4.37</v>
      </c>
      <c r="H11" s="182" t="n">
        <v>3.06</v>
      </c>
      <c r="I11" s="182" t="n">
        <v>3.17</v>
      </c>
      <c r="J11" s="183" t="n">
        <v>3.4</v>
      </c>
      <c r="K11" s="183" t="n">
        <v>4.13</v>
      </c>
      <c r="L11" s="183" t="n">
        <v>4.84</v>
      </c>
      <c r="M11" s="183" t="n">
        <v>4.99</v>
      </c>
      <c r="N11" s="183" t="n">
        <v>5.06</v>
      </c>
      <c r="O11" s="182" t="n">
        <v>4.7</v>
      </c>
      <c r="P11" s="182" t="n">
        <v>3.5</v>
      </c>
      <c r="Q11" s="182" t="n">
        <v>4.76</v>
      </c>
      <c r="R11" s="107" t="inlineStr">
        <is>
          <t>EIA STEO Oct-2026, table 3a</t>
        </is>
      </c>
    </row>
    <row r="12" ht="15" customHeight="1" s="105">
      <c r="A12" s="108" t="inlineStr">
        <is>
          <t>Non-OPEC total</t>
        </is>
      </c>
      <c r="B12" s="110" t="inlineStr">
        <is>
          <t>mb/d</t>
        </is>
      </c>
      <c r="C12" s="182" t="n">
        <v>74.91</v>
      </c>
      <c r="D12" s="182" t="n">
        <v>76.08</v>
      </c>
      <c r="E12" s="182" t="n">
        <v>78.37</v>
      </c>
      <c r="F12" s="182" t="n">
        <v>78.41</v>
      </c>
      <c r="G12" s="182" t="n">
        <v>76.2</v>
      </c>
      <c r="H12" s="182" t="n">
        <v>76.14</v>
      </c>
      <c r="I12" s="182" t="n">
        <v>77.67</v>
      </c>
      <c r="J12" s="183" t="n">
        <v>78.59</v>
      </c>
      <c r="K12" s="183" t="n">
        <v>79.23999999999999</v>
      </c>
      <c r="L12" s="183" t="n">
        <v>80.06</v>
      </c>
      <c r="M12" s="183" t="n">
        <v>80.81999999999999</v>
      </c>
      <c r="N12" s="183" t="n">
        <v>81.34</v>
      </c>
      <c r="O12" s="182" t="n">
        <v>76.95999999999999</v>
      </c>
      <c r="P12" s="182" t="n">
        <v>77.16</v>
      </c>
      <c r="Q12" s="182" t="n">
        <v>80.37</v>
      </c>
      <c r="R12" s="107" t="inlineStr">
        <is>
          <t>EIA STEO Oct-2026, table 3a</t>
        </is>
      </c>
    </row>
    <row r="13" ht="15" customHeight="1" s="105">
      <c r="A13" s="110" t="inlineStr">
        <is>
          <t xml:space="preserve">  Non-OPEC crude</t>
        </is>
      </c>
      <c r="B13" s="110" t="inlineStr">
        <is>
          <t>mb/d</t>
        </is>
      </c>
      <c r="C13" s="182" t="n">
        <v>53.2</v>
      </c>
      <c r="D13" s="182" t="n">
        <v>53.57</v>
      </c>
      <c r="E13" s="182" t="n">
        <v>55.18</v>
      </c>
      <c r="F13" s="182" t="n">
        <v>55.5</v>
      </c>
      <c r="G13" s="182" t="n">
        <v>54.24</v>
      </c>
      <c r="H13" s="182" t="n">
        <v>54.28</v>
      </c>
      <c r="I13" s="182" t="n">
        <v>55.28</v>
      </c>
      <c r="J13" s="183" t="n">
        <v>56.04</v>
      </c>
      <c r="K13" s="183" t="n">
        <v>56.86</v>
      </c>
      <c r="L13" s="183" t="n">
        <v>56.65</v>
      </c>
      <c r="M13" s="183" t="n">
        <v>57.09</v>
      </c>
      <c r="N13" s="183" t="n">
        <v>57.71</v>
      </c>
      <c r="O13" s="182" t="n">
        <v>54.37</v>
      </c>
      <c r="P13" s="182" t="n">
        <v>54.97</v>
      </c>
      <c r="Q13" s="182" t="n">
        <v>57.08</v>
      </c>
      <c r="R13" s="107" t="inlineStr">
        <is>
          <t>EIA STEO Oct-2026, table 3a</t>
        </is>
      </c>
    </row>
    <row r="14" ht="15" customHeight="1" s="105">
      <c r="A14" s="110" t="inlineStr">
        <is>
          <t xml:space="preserve">  Non-OPEC other liquids</t>
        </is>
      </c>
      <c r="B14" s="110" t="inlineStr">
        <is>
          <t>mb/d</t>
        </is>
      </c>
      <c r="C14" s="182" t="n">
        <v>21.71</v>
      </c>
      <c r="D14" s="182" t="n">
        <v>22.51</v>
      </c>
      <c r="E14" s="182" t="n">
        <v>23.19</v>
      </c>
      <c r="F14" s="182" t="n">
        <v>22.92</v>
      </c>
      <c r="G14" s="182" t="n">
        <v>21.96</v>
      </c>
      <c r="H14" s="182" t="n">
        <v>21.86</v>
      </c>
      <c r="I14" s="182" t="n">
        <v>22.39</v>
      </c>
      <c r="J14" s="183" t="n">
        <v>22.55</v>
      </c>
      <c r="K14" s="183" t="n">
        <v>22.38</v>
      </c>
      <c r="L14" s="183" t="n">
        <v>23.41</v>
      </c>
      <c r="M14" s="183" t="n">
        <v>23.73</v>
      </c>
      <c r="N14" s="183" t="n">
        <v>23.63</v>
      </c>
      <c r="O14" s="182" t="n">
        <v>22.59</v>
      </c>
      <c r="P14" s="182" t="n">
        <v>22.19</v>
      </c>
      <c r="Q14" s="182" t="n">
        <v>23.29</v>
      </c>
      <c r="R14" s="107" t="inlineStr">
        <is>
          <t>EIA STEO Oct-2026, table 3a</t>
        </is>
      </c>
    </row>
    <row r="15" ht="15" customHeight="1" s="105">
      <c r="A15" s="116" t="inlineStr">
        <is>
          <t>CONSUMPTION</t>
        </is>
      </c>
      <c r="B15" s="117" t="n"/>
      <c r="C15" s="117" t="n"/>
      <c r="D15" s="117" t="n"/>
      <c r="E15" s="117" t="n"/>
      <c r="F15" s="117" t="n"/>
      <c r="G15" s="117" t="n"/>
      <c r="H15" s="117" t="n"/>
      <c r="I15" s="117" t="n"/>
      <c r="J15" s="117" t="n"/>
      <c r="K15" s="117" t="n"/>
      <c r="L15" s="117" t="n"/>
      <c r="M15" s="117" t="n"/>
      <c r="N15" s="117" t="n"/>
      <c r="O15" s="117" t="n"/>
      <c r="P15" s="117" t="n"/>
      <c r="Q15" s="117" t="n"/>
      <c r="R15" s="117" t="n"/>
    </row>
    <row r="16" ht="15" customHeight="1" s="105">
      <c r="A16" s="108" t="inlineStr">
        <is>
          <t>World consumption</t>
        </is>
      </c>
      <c r="B16" s="110" t="inlineStr">
        <is>
          <t>mb/d</t>
        </is>
      </c>
      <c r="C16" s="182" t="n">
        <v>102.66</v>
      </c>
      <c r="D16" s="182" t="n">
        <v>104.45</v>
      </c>
      <c r="E16" s="182" t="n">
        <v>105.37</v>
      </c>
      <c r="F16" s="182" t="n">
        <v>105.1</v>
      </c>
      <c r="G16" s="182" t="n">
        <v>102.87</v>
      </c>
      <c r="H16" s="182" t="n">
        <v>100.04</v>
      </c>
      <c r="I16" s="182" t="n">
        <v>103.12</v>
      </c>
      <c r="J16" s="183" t="n">
        <v>103.66</v>
      </c>
      <c r="K16" s="183" t="n">
        <v>103.08</v>
      </c>
      <c r="L16" s="183" t="n">
        <v>104.6</v>
      </c>
      <c r="M16" s="183" t="n">
        <v>105.54</v>
      </c>
      <c r="N16" s="183" t="n">
        <v>105.33</v>
      </c>
      <c r="O16" s="182" t="n">
        <v>104.4</v>
      </c>
      <c r="P16" s="182" t="n">
        <v>102.43</v>
      </c>
      <c r="Q16" s="182" t="n">
        <v>104.64</v>
      </c>
      <c r="R16" s="107" t="inlineStr">
        <is>
          <t>EIA STEO Oct-2026, table 3a</t>
        </is>
      </c>
    </row>
    <row r="17" ht="15" customHeight="1" s="105">
      <c r="A17" s="108" t="inlineStr">
        <is>
          <t>OECD total</t>
        </is>
      </c>
      <c r="B17" s="110" t="inlineStr">
        <is>
          <t>mb/d</t>
        </is>
      </c>
      <c r="C17" s="182" t="n">
        <v>45.66</v>
      </c>
      <c r="D17" s="182" t="n">
        <v>46.17</v>
      </c>
      <c r="E17" s="182" t="n">
        <v>46.95</v>
      </c>
      <c r="F17" s="182" t="n">
        <v>46.51</v>
      </c>
      <c r="G17" s="182" t="n">
        <v>45.91</v>
      </c>
      <c r="H17" s="182" t="n">
        <v>44.57</v>
      </c>
      <c r="I17" s="182" t="n">
        <v>46.18</v>
      </c>
      <c r="J17" s="183" t="n">
        <v>46.05</v>
      </c>
      <c r="K17" s="183" t="n">
        <v>45.72</v>
      </c>
      <c r="L17" s="183" t="n">
        <v>45.79</v>
      </c>
      <c r="M17" s="183" t="n">
        <v>46.74</v>
      </c>
      <c r="N17" s="183" t="n">
        <v>46.41</v>
      </c>
      <c r="O17" s="182" t="n">
        <v>46.33</v>
      </c>
      <c r="P17" s="182" t="n">
        <v>45.68</v>
      </c>
      <c r="Q17" s="182" t="n">
        <v>46.17</v>
      </c>
      <c r="R17" s="107" t="inlineStr">
        <is>
          <t>EIA STEO Oct-2026, table 3a</t>
        </is>
      </c>
    </row>
    <row r="18" ht="15" customHeight="1" s="105">
      <c r="A18" s="110" t="inlineStr">
        <is>
          <t xml:space="preserve">  United States</t>
        </is>
      </c>
      <c r="B18" s="110" t="inlineStr">
        <is>
          <t>mb/d</t>
        </is>
      </c>
      <c r="C18" s="182" t="n">
        <v>20.38</v>
      </c>
      <c r="D18" s="182" t="n">
        <v>20.68</v>
      </c>
      <c r="E18" s="182" t="n">
        <v>21.09</v>
      </c>
      <c r="F18" s="182" t="n">
        <v>20.78</v>
      </c>
      <c r="G18" s="182" t="n">
        <v>20.71</v>
      </c>
      <c r="H18" s="182" t="n">
        <v>20.53</v>
      </c>
      <c r="I18" s="182" t="n">
        <v>20.61</v>
      </c>
      <c r="J18" s="183" t="n">
        <v>20.54</v>
      </c>
      <c r="K18" s="183" t="n">
        <v>20.41</v>
      </c>
      <c r="L18" s="183" t="n">
        <v>20.78</v>
      </c>
      <c r="M18" s="183" t="n">
        <v>21.13</v>
      </c>
      <c r="N18" s="183" t="n">
        <v>20.92</v>
      </c>
      <c r="O18" s="182" t="n">
        <v>20.74</v>
      </c>
      <c r="P18" s="182" t="n">
        <v>20.6</v>
      </c>
      <c r="Q18" s="182" t="n">
        <v>20.81</v>
      </c>
      <c r="R18" s="107" t="inlineStr">
        <is>
          <t>EIA STEO Oct-2026, table 3a</t>
        </is>
      </c>
    </row>
    <row r="19" ht="15" customHeight="1" s="105">
      <c r="A19" s="110" t="inlineStr">
        <is>
          <t xml:space="preserve">  OECD Europe</t>
        </is>
      </c>
      <c r="B19" s="110" t="inlineStr">
        <is>
          <t>mb/d</t>
        </is>
      </c>
      <c r="C19" s="182" t="n">
        <v>13</v>
      </c>
      <c r="D19" s="182" t="n">
        <v>13.77</v>
      </c>
      <c r="E19" s="182" t="n">
        <v>13.8</v>
      </c>
      <c r="F19" s="182" t="n">
        <v>13.47</v>
      </c>
      <c r="G19" s="182" t="n">
        <v>13</v>
      </c>
      <c r="H19" s="182" t="n">
        <v>13.18</v>
      </c>
      <c r="I19" s="182" t="n">
        <v>13.86</v>
      </c>
      <c r="J19" s="183" t="n">
        <v>13.42</v>
      </c>
      <c r="K19" s="183" t="n">
        <v>13.1</v>
      </c>
      <c r="L19" s="183" t="n">
        <v>13.48</v>
      </c>
      <c r="M19" s="183" t="n">
        <v>13.89</v>
      </c>
      <c r="N19" s="183" t="n">
        <v>13.45</v>
      </c>
      <c r="O19" s="182" t="n">
        <v>13.51</v>
      </c>
      <c r="P19" s="182" t="n">
        <v>13.37</v>
      </c>
      <c r="Q19" s="182" t="n">
        <v>13.48</v>
      </c>
      <c r="R19" s="107" t="inlineStr">
        <is>
          <t>EIA STEO Oct-2026, table 3a</t>
        </is>
      </c>
    </row>
    <row r="20" ht="15" customHeight="1" s="105">
      <c r="A20" s="110" t="inlineStr">
        <is>
          <t xml:space="preserve">  Japan</t>
        </is>
      </c>
      <c r="B20" s="110" t="inlineStr">
        <is>
          <t>mb/d</t>
        </is>
      </c>
      <c r="C20" s="182" t="n">
        <v>3.36</v>
      </c>
      <c r="D20" s="182" t="n">
        <v>2.9</v>
      </c>
      <c r="E20" s="182" t="n">
        <v>2.9</v>
      </c>
      <c r="F20" s="182" t="n">
        <v>3.22</v>
      </c>
      <c r="G20" s="182" t="n">
        <v>3.29</v>
      </c>
      <c r="H20" s="182" t="n">
        <v>2.59</v>
      </c>
      <c r="I20" s="182" t="n">
        <v>2.8</v>
      </c>
      <c r="J20" s="183" t="n">
        <v>3.14</v>
      </c>
      <c r="K20" s="183" t="n">
        <v>3.29</v>
      </c>
      <c r="L20" s="183" t="n">
        <v>2.7</v>
      </c>
      <c r="M20" s="183" t="n">
        <v>2.75</v>
      </c>
      <c r="N20" s="183" t="n">
        <v>3.05</v>
      </c>
      <c r="O20" s="182" t="n">
        <v>3.09</v>
      </c>
      <c r="P20" s="182" t="n">
        <v>2.95</v>
      </c>
      <c r="Q20" s="182" t="n">
        <v>2.95</v>
      </c>
      <c r="R20" s="107" t="inlineStr">
        <is>
          <t>EIA STEO Oct-2026, table 3a</t>
        </is>
      </c>
    </row>
    <row r="21" ht="15" customHeight="1" s="105">
      <c r="A21" s="110" t="inlineStr">
        <is>
          <t xml:space="preserve">  Canada</t>
        </is>
      </c>
      <c r="B21" s="110" t="inlineStr">
        <is>
          <t>mb/d</t>
        </is>
      </c>
      <c r="C21" s="182" t="n">
        <v>2.51</v>
      </c>
      <c r="D21" s="182" t="n">
        <v>2.41</v>
      </c>
      <c r="E21" s="182" t="n">
        <v>2.66</v>
      </c>
      <c r="F21" s="182" t="n">
        <v>2.64</v>
      </c>
      <c r="G21" s="182" t="n">
        <v>2.57</v>
      </c>
      <c r="H21" s="182" t="n">
        <v>2.44</v>
      </c>
      <c r="I21" s="182" t="n">
        <v>2.61</v>
      </c>
      <c r="J21" s="183" t="n">
        <v>2.57</v>
      </c>
      <c r="K21" s="183" t="n">
        <v>2.48</v>
      </c>
      <c r="L21" s="183" t="n">
        <v>2.46</v>
      </c>
      <c r="M21" s="183" t="n">
        <v>2.6</v>
      </c>
      <c r="N21" s="183" t="n">
        <v>2.55</v>
      </c>
      <c r="O21" s="182" t="n">
        <v>2.55</v>
      </c>
      <c r="P21" s="182" t="n">
        <v>2.55</v>
      </c>
      <c r="Q21" s="182" t="n">
        <v>2.52</v>
      </c>
      <c r="R21" s="107" t="inlineStr">
        <is>
          <t>EIA STEO Oct-2026, table 3a</t>
        </is>
      </c>
    </row>
    <row r="22" ht="15" customHeight="1" s="105">
      <c r="A22" s="110" t="inlineStr">
        <is>
          <t xml:space="preserve">  U.S. Territories</t>
        </is>
      </c>
      <c r="B22" s="110" t="inlineStr">
        <is>
          <t>mb/d</t>
        </is>
      </c>
      <c r="C22" s="182" t="n">
        <v>0.14</v>
      </c>
      <c r="D22" s="182" t="n">
        <v>0.13</v>
      </c>
      <c r="E22" s="182" t="n">
        <v>0.15</v>
      </c>
      <c r="F22" s="182" t="n">
        <v>0.14</v>
      </c>
      <c r="G22" s="182" t="n">
        <v>0.11</v>
      </c>
      <c r="H22" s="182" t="n">
        <v>0.11</v>
      </c>
      <c r="I22" s="182" t="n">
        <v>0.12</v>
      </c>
      <c r="J22" s="183" t="n">
        <v>0.12</v>
      </c>
      <c r="K22" s="183" t="n">
        <v>0.13</v>
      </c>
      <c r="L22" s="183" t="n">
        <v>0.13</v>
      </c>
      <c r="M22" s="183" t="n">
        <v>0.14</v>
      </c>
      <c r="N22" s="183" t="n">
        <v>0.14</v>
      </c>
      <c r="O22" s="182" t="n">
        <v>0.14</v>
      </c>
      <c r="P22" s="182" t="n">
        <v>0.12</v>
      </c>
      <c r="Q22" s="182" t="n">
        <v>0.14</v>
      </c>
      <c r="R22" s="107" t="inlineStr">
        <is>
          <t>EIA STEO Oct-2026, table 3a</t>
        </is>
      </c>
    </row>
    <row r="23" ht="15" customHeight="1" s="105">
      <c r="A23" s="110" t="inlineStr">
        <is>
          <t xml:space="preserve">  Other OECD</t>
        </is>
      </c>
      <c r="B23" s="110" t="inlineStr">
        <is>
          <t>mb/d</t>
        </is>
      </c>
      <c r="C23" s="182" t="n">
        <v>6.27</v>
      </c>
      <c r="D23" s="182" t="n">
        <v>6.27</v>
      </c>
      <c r="E23" s="182" t="n">
        <v>6.35</v>
      </c>
      <c r="F23" s="182" t="n">
        <v>6.25</v>
      </c>
      <c r="G23" s="182" t="n">
        <v>6.23</v>
      </c>
      <c r="H23" s="182" t="n">
        <v>5.72</v>
      </c>
      <c r="I23" s="182" t="n">
        <v>6.17</v>
      </c>
      <c r="J23" s="183" t="n">
        <v>6.27</v>
      </c>
      <c r="K23" s="183" t="n">
        <v>6.3</v>
      </c>
      <c r="L23" s="183" t="n">
        <v>6.23</v>
      </c>
      <c r="M23" s="183" t="n">
        <v>6.23</v>
      </c>
      <c r="N23" s="183" t="n">
        <v>6.3</v>
      </c>
      <c r="O23" s="182" t="n">
        <v>6.29</v>
      </c>
      <c r="P23" s="182" t="n">
        <v>6.1</v>
      </c>
      <c r="Q23" s="182" t="n">
        <v>6.26</v>
      </c>
      <c r="R23" s="107" t="inlineStr">
        <is>
          <t>EIA STEO Oct-2026, table 3a</t>
        </is>
      </c>
    </row>
    <row r="24" ht="15" customHeight="1" s="105">
      <c r="A24" s="108" t="inlineStr">
        <is>
          <t>Non-OECD total</t>
        </is>
      </c>
      <c r="B24" s="110" t="inlineStr">
        <is>
          <t>mb/d</t>
        </is>
      </c>
      <c r="C24" s="182" t="n">
        <v>57</v>
      </c>
      <c r="D24" s="182" t="n">
        <v>58.28</v>
      </c>
      <c r="E24" s="182" t="n">
        <v>58.42</v>
      </c>
      <c r="F24" s="182" t="n">
        <v>58.6</v>
      </c>
      <c r="G24" s="182" t="n">
        <v>56.96</v>
      </c>
      <c r="H24" s="182" t="n">
        <v>55.47</v>
      </c>
      <c r="I24" s="182" t="n">
        <v>56.94</v>
      </c>
      <c r="J24" s="183" t="n">
        <v>57.61</v>
      </c>
      <c r="K24" s="183" t="n">
        <v>57.36</v>
      </c>
      <c r="L24" s="183" t="n">
        <v>58.81</v>
      </c>
      <c r="M24" s="183" t="n">
        <v>58.8</v>
      </c>
      <c r="N24" s="183" t="n">
        <v>58.92</v>
      </c>
      <c r="O24" s="182" t="n">
        <v>58.08</v>
      </c>
      <c r="P24" s="182" t="n">
        <v>56.75</v>
      </c>
      <c r="Q24" s="182" t="n">
        <v>58.48</v>
      </c>
      <c r="R24" s="107" t="inlineStr">
        <is>
          <t>EIA STEO Oct-2026, table 3a</t>
        </is>
      </c>
    </row>
    <row r="25" ht="15" customHeight="1" s="105">
      <c r="A25" s="110" t="inlineStr">
        <is>
          <t xml:space="preserve">  China</t>
        </is>
      </c>
      <c r="B25" s="110" t="inlineStr">
        <is>
          <t>mb/d</t>
        </is>
      </c>
      <c r="C25" s="182" t="n">
        <v>16.41</v>
      </c>
      <c r="D25" s="182" t="n">
        <v>16.67</v>
      </c>
      <c r="E25" s="182" t="n">
        <v>16.43</v>
      </c>
      <c r="F25" s="182" t="n">
        <v>16.8</v>
      </c>
      <c r="G25" s="182" t="n">
        <v>16.56</v>
      </c>
      <c r="H25" s="182" t="n">
        <v>15.81</v>
      </c>
      <c r="I25" s="182" t="n">
        <v>15.67</v>
      </c>
      <c r="J25" s="183" t="n">
        <v>16.06</v>
      </c>
      <c r="K25" s="183" t="n">
        <v>16.13</v>
      </c>
      <c r="L25" s="183" t="n">
        <v>16.41</v>
      </c>
      <c r="M25" s="183" t="n">
        <v>16.16</v>
      </c>
      <c r="N25" s="183" t="n">
        <v>16.47</v>
      </c>
      <c r="O25" s="182" t="n">
        <v>16.58</v>
      </c>
      <c r="P25" s="182" t="n">
        <v>16.02</v>
      </c>
      <c r="Q25" s="182" t="n">
        <v>16.29</v>
      </c>
      <c r="R25" s="107" t="inlineStr">
        <is>
          <t>EIA STEO Oct-2026, table 3a</t>
        </is>
      </c>
    </row>
    <row r="26" ht="15" customHeight="1" s="105">
      <c r="A26" s="110" t="inlineStr">
        <is>
          <t xml:space="preserve">  Other Asia (incl. India)</t>
        </is>
      </c>
      <c r="B26" s="110" t="inlineStr">
        <is>
          <t>mb/d</t>
        </is>
      </c>
      <c r="C26" s="182" t="n">
        <v>15</v>
      </c>
      <c r="D26" s="182" t="n">
        <v>15.01</v>
      </c>
      <c r="E26" s="182" t="n">
        <v>14.58</v>
      </c>
      <c r="F26" s="182" t="n">
        <v>15.2</v>
      </c>
      <c r="G26" s="182" t="n">
        <v>15.09</v>
      </c>
      <c r="H26" s="182" t="n">
        <v>14.27</v>
      </c>
      <c r="I26" s="182" t="n">
        <v>14.54</v>
      </c>
      <c r="J26" s="183" t="n">
        <v>15.24</v>
      </c>
      <c r="K26" s="183" t="n">
        <v>15.54</v>
      </c>
      <c r="L26" s="183" t="n">
        <v>15.71</v>
      </c>
      <c r="M26" s="183" t="n">
        <v>15.26</v>
      </c>
      <c r="N26" s="183" t="n">
        <v>15.73</v>
      </c>
      <c r="O26" s="182" t="n">
        <v>14.95</v>
      </c>
      <c r="P26" s="182" t="n">
        <v>14.79</v>
      </c>
      <c r="Q26" s="182" t="n">
        <v>15.56</v>
      </c>
      <c r="R26" s="107" t="inlineStr">
        <is>
          <t>EIA STEO Oct-2026, table 3a</t>
        </is>
      </c>
    </row>
    <row r="27" ht="15" customHeight="1" s="105">
      <c r="A27" s="110" t="inlineStr">
        <is>
          <t xml:space="preserve">  Eurasia</t>
        </is>
      </c>
      <c r="B27" s="110" t="inlineStr">
        <is>
          <t>mb/d</t>
        </is>
      </c>
      <c r="C27" s="182" t="n">
        <v>4.86</v>
      </c>
      <c r="D27" s="182" t="n">
        <v>5.02</v>
      </c>
      <c r="E27" s="182" t="n">
        <v>5.34</v>
      </c>
      <c r="F27" s="182" t="n">
        <v>5.22</v>
      </c>
      <c r="G27" s="182" t="n">
        <v>4.86</v>
      </c>
      <c r="H27" s="182" t="n">
        <v>4.91</v>
      </c>
      <c r="I27" s="182" t="n">
        <v>5.3</v>
      </c>
      <c r="J27" s="183" t="n">
        <v>5.23</v>
      </c>
      <c r="K27" s="183" t="n">
        <v>4.78</v>
      </c>
      <c r="L27" s="183" t="n">
        <v>4.94</v>
      </c>
      <c r="M27" s="183" t="n">
        <v>5.26</v>
      </c>
      <c r="N27" s="183" t="n">
        <v>5.15</v>
      </c>
      <c r="O27" s="182" t="n">
        <v>5.11</v>
      </c>
      <c r="P27" s="182" t="n">
        <v>5.08</v>
      </c>
      <c r="Q27" s="182" t="n">
        <v>5.03</v>
      </c>
      <c r="R27" s="107" t="inlineStr">
        <is>
          <t>EIA STEO Oct-2026, table 3a</t>
        </is>
      </c>
    </row>
    <row r="28" ht="15" customHeight="1" s="105">
      <c r="A28" s="110" t="inlineStr">
        <is>
          <t xml:space="preserve">  Non-OECD Europe</t>
        </is>
      </c>
      <c r="B28" s="110" t="inlineStr">
        <is>
          <t>mb/d</t>
        </is>
      </c>
      <c r="C28" s="182" t="n">
        <v>0.77</v>
      </c>
      <c r="D28" s="182" t="n">
        <v>0.8</v>
      </c>
      <c r="E28" s="182" t="n">
        <v>0.8100000000000001</v>
      </c>
      <c r="F28" s="182" t="n">
        <v>0.82</v>
      </c>
      <c r="G28" s="182" t="n">
        <v>0.76</v>
      </c>
      <c r="H28" s="182" t="n">
        <v>0.8</v>
      </c>
      <c r="I28" s="182" t="n">
        <v>0.8100000000000001</v>
      </c>
      <c r="J28" s="183" t="n">
        <v>0.8100000000000001</v>
      </c>
      <c r="K28" s="183" t="n">
        <v>0.77</v>
      </c>
      <c r="L28" s="183" t="n">
        <v>0.8</v>
      </c>
      <c r="M28" s="183" t="n">
        <v>0.82</v>
      </c>
      <c r="N28" s="183" t="n">
        <v>0.82</v>
      </c>
      <c r="O28" s="182" t="n">
        <v>0.8</v>
      </c>
      <c r="P28" s="182" t="n">
        <v>0.8</v>
      </c>
      <c r="Q28" s="182" t="n">
        <v>0.8</v>
      </c>
      <c r="R28" s="107" t="inlineStr">
        <is>
          <t>EIA STEO Oct-2026, table 3a</t>
        </is>
      </c>
    </row>
    <row r="29" ht="15" customHeight="1" s="105">
      <c r="A29" s="110" t="inlineStr">
        <is>
          <t xml:space="preserve">  Other non-OECD</t>
        </is>
      </c>
      <c r="B29" s="110" t="inlineStr">
        <is>
          <t>mb/d</t>
        </is>
      </c>
      <c r="C29" s="182" t="n">
        <v>19.97</v>
      </c>
      <c r="D29" s="182" t="n">
        <v>20.78</v>
      </c>
      <c r="E29" s="182" t="n">
        <v>21.26</v>
      </c>
      <c r="F29" s="182" t="n">
        <v>20.56</v>
      </c>
      <c r="G29" s="182" t="n">
        <v>19.68</v>
      </c>
      <c r="H29" s="182" t="n">
        <v>19.69</v>
      </c>
      <c r="I29" s="182" t="n">
        <v>20.62</v>
      </c>
      <c r="J29" s="183" t="n">
        <v>20.26</v>
      </c>
      <c r="K29" s="183" t="n">
        <v>20.15</v>
      </c>
      <c r="L29" s="183" t="n">
        <v>20.95</v>
      </c>
      <c r="M29" s="183" t="n">
        <v>21.3</v>
      </c>
      <c r="N29" s="183" t="n">
        <v>20.75</v>
      </c>
      <c r="O29" s="182" t="n">
        <v>20.64</v>
      </c>
      <c r="P29" s="182" t="n">
        <v>20.07</v>
      </c>
      <c r="Q29" s="182" t="n">
        <v>20.79</v>
      </c>
      <c r="R29" s="107" t="inlineStr">
        <is>
          <t>EIA STEO Oct-2026, table 3a</t>
        </is>
      </c>
    </row>
    <row r="30" ht="15" customHeight="1" s="105">
      <c r="A30" s="116" t="inlineStr">
        <is>
          <t>NET INVENTORY WITHDRAWALS (positive = stock draw)</t>
        </is>
      </c>
      <c r="B30" s="117" t="n"/>
      <c r="C30" s="117" t="n"/>
      <c r="D30" s="117" t="n"/>
      <c r="E30" s="117" t="n"/>
      <c r="F30" s="117" t="n"/>
      <c r="G30" s="117" t="n"/>
      <c r="H30" s="117" t="n"/>
      <c r="I30" s="117" t="n"/>
      <c r="J30" s="117" t="n"/>
      <c r="K30" s="117" t="n"/>
      <c r="L30" s="117" t="n"/>
      <c r="M30" s="117" t="n"/>
      <c r="N30" s="117" t="n"/>
      <c r="O30" s="117" t="n"/>
      <c r="P30" s="117" t="n"/>
      <c r="Q30" s="117" t="n"/>
      <c r="R30" s="117" t="n"/>
    </row>
    <row r="31" ht="15" customHeight="1" s="105">
      <c r="A31" s="108" t="inlineStr">
        <is>
          <t>World net withdrawals</t>
        </is>
      </c>
      <c r="B31" s="110" t="inlineStr">
        <is>
          <t>mb/d</t>
        </is>
      </c>
      <c r="C31" s="182" t="n">
        <v>-0.92</v>
      </c>
      <c r="D31" s="182" t="n">
        <v>-0.74</v>
      </c>
      <c r="E31" s="182" t="n">
        <v>-2.53</v>
      </c>
      <c r="F31" s="182" t="n">
        <v>-3.32</v>
      </c>
      <c r="G31" s="182" t="n">
        <v>-0.79</v>
      </c>
      <c r="H31" s="182" t="n">
        <v>3.55</v>
      </c>
      <c r="I31" s="182" t="n">
        <v>1.87</v>
      </c>
      <c r="J31" s="183" t="n">
        <v>0.6899999999999999</v>
      </c>
      <c r="K31" s="183" t="n">
        <v>-3.03</v>
      </c>
      <c r="L31" s="183" t="n">
        <v>-4.95</v>
      </c>
      <c r="M31" s="183" t="n">
        <v>-5.38</v>
      </c>
      <c r="N31" s="183" t="n">
        <v>-6.23</v>
      </c>
      <c r="O31" s="182" t="n">
        <v>-1.89</v>
      </c>
      <c r="P31" s="182" t="n">
        <v>1.34</v>
      </c>
      <c r="Q31" s="182" t="n">
        <v>-4.91</v>
      </c>
      <c r="R31" s="107" t="inlineStr">
        <is>
          <t>EIA STEO Oct-2026, table 3a</t>
        </is>
      </c>
    </row>
    <row r="32" ht="15" customHeight="1" s="105">
      <c r="A32" s="110" t="inlineStr">
        <is>
          <t xml:space="preserve">  United States</t>
        </is>
      </c>
      <c r="B32" s="110" t="inlineStr">
        <is>
          <t>mb/d</t>
        </is>
      </c>
      <c r="C32" s="182" t="n">
        <v>0.29</v>
      </c>
      <c r="D32" s="182" t="n">
        <v>-0.5</v>
      </c>
      <c r="E32" s="182" t="n">
        <v>-0.52</v>
      </c>
      <c r="F32" s="182" t="n">
        <v>-0.05</v>
      </c>
      <c r="G32" s="182" t="n">
        <v>0.08</v>
      </c>
      <c r="H32" s="182" t="n">
        <v>1.74</v>
      </c>
      <c r="I32" s="182" t="n">
        <v>0.05</v>
      </c>
      <c r="J32" s="183" t="n">
        <v>0.47</v>
      </c>
      <c r="K32" s="183" t="n">
        <v>-0.2</v>
      </c>
      <c r="L32" s="183" t="n">
        <v>-0.54</v>
      </c>
      <c r="M32" s="183" t="n">
        <v>-0.85</v>
      </c>
      <c r="N32" s="183" t="n">
        <v>-0.6</v>
      </c>
      <c r="O32" s="182" t="n">
        <v>-0.2</v>
      </c>
      <c r="P32" s="182" t="n">
        <v>0.58</v>
      </c>
      <c r="Q32" s="182" t="n">
        <v>-0.55</v>
      </c>
      <c r="R32" s="107" t="inlineStr">
        <is>
          <t>EIA STEO Oct-2026, table 3a</t>
        </is>
      </c>
    </row>
    <row r="33" ht="15" customHeight="1" s="105">
      <c r="A33" s="110" t="inlineStr">
        <is>
          <t xml:space="preserve">  Other OECD</t>
        </is>
      </c>
      <c r="B33" s="110" t="inlineStr">
        <is>
          <t>mb/d</t>
        </is>
      </c>
      <c r="C33" s="182" t="n">
        <v>-0.3</v>
      </c>
      <c r="D33" s="182" t="n">
        <v>0.02</v>
      </c>
      <c r="E33" s="182" t="n">
        <v>-0.38</v>
      </c>
      <c r="F33" s="182" t="n">
        <v>0.27</v>
      </c>
      <c r="G33" s="182" t="n">
        <v>0.28</v>
      </c>
      <c r="H33" s="182" t="n">
        <v>0.02</v>
      </c>
      <c r="I33" s="182" t="n">
        <v>0.89</v>
      </c>
      <c r="J33" s="183" t="n">
        <v>0.39</v>
      </c>
      <c r="K33" s="183" t="n">
        <v>-0.53</v>
      </c>
      <c r="L33" s="183" t="n">
        <v>-0.99</v>
      </c>
      <c r="M33" s="183" t="n">
        <v>-1.05</v>
      </c>
      <c r="N33" s="183" t="n">
        <v>-1.38</v>
      </c>
      <c r="O33" s="182" t="n">
        <v>-0.1</v>
      </c>
      <c r="P33" s="182" t="n">
        <v>0.4</v>
      </c>
      <c r="Q33" s="182" t="n">
        <v>-0.99</v>
      </c>
      <c r="R33" s="107" t="inlineStr">
        <is>
          <t>EIA STEO Oct-2026, table 3a</t>
        </is>
      </c>
    </row>
    <row r="34" ht="15" customHeight="1" s="105">
      <c r="A34" s="110" t="inlineStr">
        <is>
          <t xml:space="preserve">  Other inventories and balancing item</t>
        </is>
      </c>
      <c r="B34" s="110" t="inlineStr">
        <is>
          <t>mb/d</t>
        </is>
      </c>
      <c r="C34" s="182" t="n">
        <v>-0.92</v>
      </c>
      <c r="D34" s="182" t="n">
        <v>-0.26</v>
      </c>
      <c r="E34" s="182" t="n">
        <v>-1.63</v>
      </c>
      <c r="F34" s="182" t="n">
        <v>-3.53</v>
      </c>
      <c r="G34" s="182" t="n">
        <v>-1.14</v>
      </c>
      <c r="H34" s="182" t="n">
        <v>1.79</v>
      </c>
      <c r="I34" s="182" t="n">
        <v>0.9399999999999999</v>
      </c>
      <c r="J34" s="183" t="n">
        <v>-0.17</v>
      </c>
      <c r="K34" s="183" t="n">
        <v>-2.3</v>
      </c>
      <c r="L34" s="183" t="n">
        <v>-3.42</v>
      </c>
      <c r="M34" s="183" t="n">
        <v>-3.48</v>
      </c>
      <c r="N34" s="183" t="n">
        <v>-4.26</v>
      </c>
      <c r="O34" s="182" t="n">
        <v>-1.59</v>
      </c>
      <c r="P34" s="182" t="n">
        <v>0.36</v>
      </c>
      <c r="Q34" s="182" t="n">
        <v>-3.37</v>
      </c>
      <c r="R34" s="107" t="inlineStr">
        <is>
          <t>EIA STEO Oct-2026, table 3a</t>
        </is>
      </c>
    </row>
    <row r="35" ht="15" customHeight="1" s="105">
      <c r="A35" s="116" t="inlineStr">
        <is>
          <t>END-OF-PERIOD COMMERCIAL INVENTORIES</t>
        </is>
      </c>
      <c r="B35" s="117" t="n"/>
      <c r="C35" s="117" t="n"/>
      <c r="D35" s="117" t="n"/>
      <c r="E35" s="117" t="n"/>
      <c r="F35" s="117" t="n"/>
      <c r="G35" s="117" t="n"/>
      <c r="H35" s="117" t="n"/>
      <c r="I35" s="117" t="n"/>
      <c r="J35" s="117" t="n"/>
      <c r="K35" s="117" t="n"/>
      <c r="L35" s="117" t="n"/>
      <c r="M35" s="117" t="n"/>
      <c r="N35" s="117" t="n"/>
      <c r="O35" s="117" t="n"/>
      <c r="P35" s="117" t="n"/>
      <c r="Q35" s="117" t="n"/>
      <c r="R35" s="117" t="n"/>
    </row>
    <row r="36" ht="15" customHeight="1" s="105">
      <c r="A36" s="108" t="inlineStr">
        <is>
          <t>OECD commercial inventories</t>
        </is>
      </c>
      <c r="B36" s="110" t="inlineStr">
        <is>
          <t>mb</t>
        </is>
      </c>
      <c r="C36" s="184" t="n">
        <v>2741</v>
      </c>
      <c r="D36" s="184" t="n">
        <v>2779</v>
      </c>
      <c r="E36" s="184" t="n">
        <v>2858</v>
      </c>
      <c r="F36" s="184" t="n">
        <v>2832</v>
      </c>
      <c r="G36" s="184" t="n">
        <v>2798</v>
      </c>
      <c r="H36" s="184" t="n">
        <v>2730</v>
      </c>
      <c r="I36" s="184" t="n">
        <v>2683</v>
      </c>
      <c r="J36" s="185" t="n">
        <v>2645</v>
      </c>
      <c r="K36" s="185" t="n">
        <v>2710</v>
      </c>
      <c r="L36" s="185" t="n">
        <v>2849</v>
      </c>
      <c r="M36" s="185" t="n">
        <v>2972</v>
      </c>
      <c r="N36" s="185" t="n">
        <v>3102</v>
      </c>
      <c r="O36" s="184" t="n">
        <v>2832</v>
      </c>
      <c r="P36" s="184" t="n">
        <v>2645</v>
      </c>
      <c r="Q36" s="184" t="n">
        <v>3102</v>
      </c>
      <c r="R36" s="107" t="inlineStr">
        <is>
          <t>EIA STEO Oct-2026, table 3a</t>
        </is>
      </c>
    </row>
    <row r="37" ht="15" customHeight="1" s="105">
      <c r="A37" s="110" t="inlineStr">
        <is>
          <t xml:space="preserve">  United States</t>
        </is>
      </c>
      <c r="B37" s="110" t="inlineStr">
        <is>
          <t>mb</t>
        </is>
      </c>
      <c r="C37" s="184" t="n">
        <v>1207</v>
      </c>
      <c r="D37" s="184" t="n">
        <v>1246</v>
      </c>
      <c r="E37" s="184" t="n">
        <v>1290</v>
      </c>
      <c r="F37" s="184" t="n">
        <v>1289</v>
      </c>
      <c r="G37" s="184" t="n">
        <v>1281</v>
      </c>
      <c r="H37" s="184" t="n">
        <v>1215</v>
      </c>
      <c r="I37" s="184" t="n">
        <v>1249</v>
      </c>
      <c r="J37" s="185" t="n">
        <v>1247</v>
      </c>
      <c r="K37" s="185" t="n">
        <v>1265</v>
      </c>
      <c r="L37" s="185" t="n">
        <v>1314</v>
      </c>
      <c r="M37" s="185" t="n">
        <v>1341</v>
      </c>
      <c r="N37" s="185" t="n">
        <v>1344</v>
      </c>
      <c r="O37" s="184" t="n">
        <v>1289</v>
      </c>
      <c r="P37" s="184" t="n">
        <v>1247</v>
      </c>
      <c r="Q37" s="184" t="n">
        <v>1344</v>
      </c>
      <c r="R37" s="107" t="inlineStr">
        <is>
          <t>EIA STEO Oct-2026, table 3a</t>
        </is>
      </c>
    </row>
    <row r="38" ht="15" customHeight="1" s="105">
      <c r="A38" s="110" t="inlineStr">
        <is>
          <t xml:space="preserve">  Other OECD</t>
        </is>
      </c>
      <c r="B38" s="110" t="inlineStr">
        <is>
          <t>mb</t>
        </is>
      </c>
      <c r="C38" s="184" t="n">
        <v>1535</v>
      </c>
      <c r="D38" s="184" t="n">
        <v>1533</v>
      </c>
      <c r="E38" s="184" t="n">
        <v>1568</v>
      </c>
      <c r="F38" s="184" t="n">
        <v>1543</v>
      </c>
      <c r="G38" s="184" t="n">
        <v>1518</v>
      </c>
      <c r="H38" s="184" t="n">
        <v>1516</v>
      </c>
      <c r="I38" s="184" t="n">
        <v>1434</v>
      </c>
      <c r="J38" s="185" t="n">
        <v>1398</v>
      </c>
      <c r="K38" s="185" t="n">
        <v>1446</v>
      </c>
      <c r="L38" s="185" t="n">
        <v>1535</v>
      </c>
      <c r="M38" s="185" t="n">
        <v>1632</v>
      </c>
      <c r="N38" s="185" t="n">
        <v>1758</v>
      </c>
      <c r="O38" s="184" t="n">
        <v>1543</v>
      </c>
      <c r="P38" s="184" t="n">
        <v>1398</v>
      </c>
      <c r="Q38" s="184" t="n">
        <v>1758</v>
      </c>
      <c r="R38" s="107" t="inlineStr">
        <is>
          <t>EIA STEO Oct-2026, table 3a</t>
        </is>
      </c>
    </row>
    <row r="39" ht="15" customHeight="1" s="105">
      <c r="A39" s="116" t="inlineStr">
        <is>
          <t>PRICES (table 2)</t>
        </is>
      </c>
      <c r="B39" s="117" t="n"/>
      <c r="C39" s="117" t="n"/>
      <c r="D39" s="117" t="n"/>
      <c r="E39" s="117" t="n"/>
      <c r="F39" s="117" t="n"/>
      <c r="G39" s="117" t="n"/>
      <c r="H39" s="117" t="n"/>
      <c r="I39" s="117" t="n"/>
      <c r="J39" s="117" t="n"/>
      <c r="K39" s="117" t="n"/>
      <c r="L39" s="117" t="n"/>
      <c r="M39" s="117" t="n"/>
      <c r="N39" s="117" t="n"/>
      <c r="O39" s="117" t="n"/>
      <c r="P39" s="117" t="n"/>
      <c r="Q39" s="117" t="n"/>
      <c r="R39" s="117" t="n"/>
    </row>
    <row r="40" ht="15" customHeight="1" s="105">
      <c r="A40" s="108" t="inlineStr">
        <is>
          <t>Brent spot</t>
        </is>
      </c>
      <c r="B40" s="110" t="inlineStr">
        <is>
          <t>$/bbl</t>
        </is>
      </c>
      <c r="C40" s="186" t="n">
        <v>75.83</v>
      </c>
      <c r="D40" s="186" t="n">
        <v>68.01000000000001</v>
      </c>
      <c r="E40" s="186" t="n">
        <v>69</v>
      </c>
      <c r="F40" s="186" t="n">
        <v>63.63</v>
      </c>
      <c r="G40" s="186" t="n">
        <v>81.11</v>
      </c>
      <c r="H40" s="186" t="n">
        <v>102.93</v>
      </c>
      <c r="I40" s="186" t="n">
        <v>95.95</v>
      </c>
      <c r="J40" s="187" t="n">
        <v>104.69</v>
      </c>
      <c r="K40" s="187" t="n">
        <v>94.90000000000001</v>
      </c>
      <c r="L40" s="187" t="n">
        <v>87</v>
      </c>
      <c r="M40" s="187" t="n">
        <v>80.03</v>
      </c>
      <c r="N40" s="187" t="n">
        <v>73.94</v>
      </c>
      <c r="O40" s="186" t="n">
        <v>69.04000000000001</v>
      </c>
      <c r="P40" s="186" t="n">
        <v>96.31999999999999</v>
      </c>
      <c r="Q40" s="186" t="n">
        <v>83.73999999999999</v>
      </c>
      <c r="R40" s="107" t="inlineStr">
        <is>
          <t>EIA STEO Oct-2026, table 2</t>
        </is>
      </c>
    </row>
    <row r="41" ht="15" customHeight="1" s="105">
      <c r="A41" s="108" t="inlineStr">
        <is>
          <t>WTI spot</t>
        </is>
      </c>
      <c r="B41" s="110" t="inlineStr">
        <is>
          <t>$/bbl</t>
        </is>
      </c>
      <c r="C41" s="186" t="n">
        <v>71.84999999999999</v>
      </c>
      <c r="D41" s="186" t="n">
        <v>64.63</v>
      </c>
      <c r="E41" s="186" t="n">
        <v>65.78</v>
      </c>
      <c r="F41" s="186" t="n">
        <v>59.64</v>
      </c>
      <c r="G41" s="186" t="n">
        <v>72.73999999999999</v>
      </c>
      <c r="H41" s="186" t="n">
        <v>95.48</v>
      </c>
      <c r="I41" s="186" t="n">
        <v>87.02</v>
      </c>
      <c r="J41" s="187" t="n">
        <v>97</v>
      </c>
      <c r="K41" s="187" t="n">
        <v>90.90000000000001</v>
      </c>
      <c r="L41" s="187" t="n">
        <v>83</v>
      </c>
      <c r="M41" s="187" t="n">
        <v>76.03</v>
      </c>
      <c r="N41" s="187" t="n">
        <v>69.94</v>
      </c>
      <c r="O41" s="186" t="n">
        <v>65.40000000000001</v>
      </c>
      <c r="P41" s="186" t="n">
        <v>88.20999999999999</v>
      </c>
      <c r="Q41" s="186" t="n">
        <v>79.73999999999999</v>
      </c>
      <c r="R41" s="107" t="inlineStr">
        <is>
          <t>EIA STEO Oct-2026, table 2</t>
        </is>
      </c>
    </row>
    <row r="43" ht="15" customHeight="1" s="105">
      <c r="A43" s="108" t="inlineStr">
        <is>
          <t>Consistency checks (should be ~0)</t>
        </is>
      </c>
    </row>
    <row r="44" ht="15" customHeight="1" s="105">
      <c r="A44" s="110" t="inlineStr">
        <is>
          <t>Production: world − (OPEC + non-OPEC)</t>
        </is>
      </c>
      <c r="C44" s="133">
        <f>C6-C9-C12</f>
        <v/>
      </c>
      <c r="D44" s="133">
        <f>D6-D9-D12</f>
        <v/>
      </c>
      <c r="E44" s="133">
        <f>E6-E9-E12</f>
        <v/>
      </c>
      <c r="F44" s="133">
        <f>F6-F9-F12</f>
        <v/>
      </c>
      <c r="G44" s="133">
        <f>G6-G9-G12</f>
        <v/>
      </c>
      <c r="H44" s="133">
        <f>H6-H9-H12</f>
        <v/>
      </c>
      <c r="I44" s="133">
        <f>I6-I9-I12</f>
        <v/>
      </c>
      <c r="J44" s="133">
        <f>J6-J9-J12</f>
        <v/>
      </c>
      <c r="K44" s="133">
        <f>K6-K9-K12</f>
        <v/>
      </c>
      <c r="L44" s="133">
        <f>L6-L9-L12</f>
        <v/>
      </c>
      <c r="M44" s="133">
        <f>M6-M9-M12</f>
        <v/>
      </c>
      <c r="N44" s="133">
        <f>N6-N9-N12</f>
        <v/>
      </c>
      <c r="O44" s="133">
        <f>O6-O9-O12</f>
        <v/>
      </c>
      <c r="P44" s="133">
        <f>P6-P9-P12</f>
        <v/>
      </c>
      <c r="Q44" s="133">
        <f>Q6-Q9-Q12</f>
        <v/>
      </c>
    </row>
    <row r="45" ht="15" customHeight="1" s="105">
      <c r="A45" s="110" t="inlineStr">
        <is>
          <t>Consumption: world − (OECD + non-OECD)</t>
        </is>
      </c>
      <c r="C45" s="133">
        <f>C16-C17-C24</f>
        <v/>
      </c>
      <c r="D45" s="133">
        <f>D16-D17-D24</f>
        <v/>
      </c>
      <c r="E45" s="133">
        <f>E16-E17-E24</f>
        <v/>
      </c>
      <c r="F45" s="133">
        <f>F16-F17-F24</f>
        <v/>
      </c>
      <c r="G45" s="133">
        <f>G16-G17-G24</f>
        <v/>
      </c>
      <c r="H45" s="133">
        <f>H16-H17-H24</f>
        <v/>
      </c>
      <c r="I45" s="133">
        <f>I16-I17-I24</f>
        <v/>
      </c>
      <c r="J45" s="133">
        <f>J16-J17-J24</f>
        <v/>
      </c>
      <c r="K45" s="133">
        <f>K16-K17-K24</f>
        <v/>
      </c>
      <c r="L45" s="133">
        <f>L16-L17-L24</f>
        <v/>
      </c>
      <c r="M45" s="133">
        <f>M16-M17-M24</f>
        <v/>
      </c>
      <c r="N45" s="133">
        <f>N16-N17-N24</f>
        <v/>
      </c>
      <c r="O45" s="133">
        <f>O16-O17-O24</f>
        <v/>
      </c>
      <c r="P45" s="133">
        <f>P16-P17-P24</f>
        <v/>
      </c>
      <c r="Q45" s="133">
        <f>Q16-Q17-Q24</f>
        <v/>
      </c>
    </row>
    <row r="46" ht="15" customHeight="1" s="105">
      <c r="A46" s="110" t="inlineStr">
        <is>
          <t>Balance: production − consumption + withdrawals</t>
        </is>
      </c>
      <c r="C46" s="133">
        <f>C6-C16+C31</f>
        <v/>
      </c>
      <c r="D46" s="133">
        <f>D6-D16+D31</f>
        <v/>
      </c>
      <c r="E46" s="133">
        <f>E6-E16+E31</f>
        <v/>
      </c>
      <c r="F46" s="133">
        <f>F6-F16+F31</f>
        <v/>
      </c>
      <c r="G46" s="133">
        <f>G6-G16+G31</f>
        <v/>
      </c>
      <c r="H46" s="133">
        <f>H6-H16+H31</f>
        <v/>
      </c>
      <c r="I46" s="133">
        <f>I6-I16+I31</f>
        <v/>
      </c>
      <c r="J46" s="133">
        <f>J6-J16+J31</f>
        <v/>
      </c>
      <c r="K46" s="133">
        <f>K6-K16+K31</f>
        <v/>
      </c>
      <c r="L46" s="133">
        <f>L6-L16+L31</f>
        <v/>
      </c>
      <c r="M46" s="133">
        <f>M6-M16+M31</f>
        <v/>
      </c>
      <c r="N46" s="133">
        <f>N6-N16+N31</f>
        <v/>
      </c>
      <c r="O46" s="133">
        <f>O6-O16+O31</f>
        <v/>
      </c>
      <c r="P46" s="133">
        <f>P6-P16+P31</f>
        <v/>
      </c>
      <c r="Q46" s="133">
        <f>Q6-Q16+Q31</f>
        <v/>
      </c>
    </row>
    <row r="47" ht="15" customHeight="1" s="105">
      <c r="A47" s="107" t="inlineStr">
        <is>
          <t>Differences of ±0.01 are EIA rounding.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8EA9DB"/>
    <outlinePr summaryBelow="1" summaryRight="1"/>
    <pageSetUpPr fitToPage="0"/>
  </sheetPr>
  <dimension ref="A1:F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4" min="1" max="1"/>
    <col width="13" customWidth="1" style="104" min="2" max="5"/>
    <col width="55" customWidth="1" style="104" min="6" max="6"/>
  </cols>
  <sheetData>
    <row r="1" ht="17.25" customHeight="1" s="105">
      <c r="A1" s="106" t="inlineStr">
        <is>
          <t>Agency comparison – annual figures</t>
        </is>
      </c>
    </row>
    <row r="2" ht="15" customHeight="1" s="105">
      <c r="A2" s="107" t="inlineStr">
        <is>
          <t>mb/d · agencies use different scopes and baselines: direction matters, not the decimal</t>
        </is>
      </c>
    </row>
    <row r="4" ht="15" customHeight="1" s="105">
      <c r="A4" s="122" t="inlineStr">
        <is>
          <t>Metric</t>
        </is>
      </c>
      <c r="B4" s="122" t="inlineStr">
        <is>
          <t>EIA Oct-26</t>
        </is>
      </c>
      <c r="C4" s="122" t="inlineStr">
        <is>
          <t>IEA Oct-26</t>
        </is>
      </c>
      <c r="D4" s="122" t="inlineStr">
        <is>
          <t>Difference</t>
        </is>
      </c>
      <c r="E4" s="122" t="inlineStr">
        <is>
          <t>OPEC Jul-26</t>
        </is>
      </c>
      <c r="F4" s="122" t="inlineStr">
        <is>
          <t>Note</t>
        </is>
      </c>
    </row>
    <row r="5" ht="15" customHeight="1" s="105">
      <c r="A5" s="110" t="inlineStr">
        <is>
          <t>Demand 2026</t>
        </is>
      </c>
      <c r="B5" s="143">
        <f>EIA_Data!P$16</f>
        <v/>
      </c>
      <c r="C5" s="182" t="n">
        <v>102.4</v>
      </c>
      <c r="D5" s="133">
        <f>B5-C5</f>
        <v/>
      </c>
      <c r="E5" s="182" t="n">
        <v>105.94</v>
      </c>
      <c r="F5" s="107" t="inlineStr">
        <is>
          <t>OPEC uses a higher historical baseline; July figure</t>
        </is>
      </c>
    </row>
    <row r="6" ht="15" customHeight="1" s="105">
      <c r="A6" s="110" t="inlineStr">
        <is>
          <t>Demand 2027</t>
        </is>
      </c>
      <c r="B6" s="143">
        <f>EIA_Data!Q$16</f>
        <v/>
      </c>
      <c r="C6" s="182" t="n">
        <v>104.4</v>
      </c>
      <c r="D6" s="133">
        <f>B6-C6</f>
        <v/>
      </c>
      <c r="E6" s="182" t="n">
        <v>107.86</v>
      </c>
      <c r="F6" s="107" t="inlineStr">
        <is>
          <t>IEA: 102.4 + 2.0 recovery; OPEC July</t>
        </is>
      </c>
    </row>
    <row r="7" ht="15" customHeight="1" s="105">
      <c r="A7" s="110" t="inlineStr">
        <is>
          <t>Demand change 2026</t>
        </is>
      </c>
      <c r="B7" s="143">
        <f>EIA_Data!P$16-EIA_Data!O$16</f>
        <v/>
      </c>
      <c r="C7" s="182" t="n">
        <v>-2.6</v>
      </c>
      <c r="D7" s="133">
        <f>B7-C7</f>
        <v/>
      </c>
      <c r="E7" s="182" t="n">
        <v>0.78</v>
      </c>
      <c r="F7" s="107" t="inlineStr">
        <is>
          <t>In July OPEC still saw growth</t>
        </is>
      </c>
    </row>
    <row r="8" ht="15" customHeight="1" s="105">
      <c r="A8" s="110" t="inlineStr">
        <is>
          <t>Supply 2026</t>
        </is>
      </c>
      <c r="B8" s="143">
        <f>EIA_Data!P$6</f>
        <v/>
      </c>
      <c r="C8" s="182" t="n">
        <v>100.7</v>
      </c>
      <c r="D8" s="133">
        <f>B8-C8</f>
        <v/>
      </c>
      <c r="F8" s="107" t="n"/>
    </row>
    <row r="9" ht="15" customHeight="1" s="105">
      <c r="A9" s="110" t="inlineStr">
        <is>
          <t>Supply 2027</t>
        </is>
      </c>
      <c r="B9" s="143">
        <f>EIA_Data!Q$6</f>
        <v/>
      </c>
      <c r="C9" s="182" t="n">
        <v>108.4</v>
      </c>
      <c r="D9" s="133">
        <f>B9-C9</f>
        <v/>
      </c>
      <c r="F9" s="107" t="inlineStr">
        <is>
          <t>IEA: 100.7 + 7.7</t>
        </is>
      </c>
    </row>
    <row r="10" ht="15" customHeight="1" s="105">
      <c r="A10" s="110" t="inlineStr">
        <is>
          <t>Supply change 2026</t>
        </is>
      </c>
      <c r="B10" s="143">
        <f>EIA_Data!P$6-EIA_Data!O$6</f>
        <v/>
      </c>
      <c r="C10" s="182" t="n">
        <v>-5.8</v>
      </c>
      <c r="D10" s="133">
        <f>B10-C10</f>
        <v/>
      </c>
      <c r="F10" s="107" t="n"/>
    </row>
    <row r="11" ht="15" customHeight="1" s="105">
      <c r="A11" s="110" t="inlineStr">
        <is>
          <t>Balance 2026 (supply − demand)</t>
        </is>
      </c>
      <c r="B11" s="143">
        <f>EIA_Data!P$6-EIA_Data!P$16</f>
        <v/>
      </c>
      <c r="C11" s="133">
        <f>C8-C5</f>
        <v/>
      </c>
      <c r="D11" s="133">
        <f>B11-C11</f>
        <v/>
      </c>
      <c r="F11" s="107" t="inlineStr">
        <is>
          <t>Both see a 2026 deficit</t>
        </is>
      </c>
    </row>
    <row r="12" ht="15" customHeight="1" s="105">
      <c r="A12" s="110" t="inlineStr">
        <is>
          <t>Balance 2027</t>
        </is>
      </c>
      <c r="B12" s="143">
        <f>EIA_Data!Q$6-EIA_Data!Q$16</f>
        <v/>
      </c>
      <c r="C12" s="133">
        <f>C9-C6</f>
        <v/>
      </c>
      <c r="D12" s="133">
        <f>B12-C12</f>
        <v/>
      </c>
      <c r="F12" s="107" t="inlineStr">
        <is>
          <t>Both see a large 2027 surplus</t>
        </is>
      </c>
    </row>
    <row r="14" ht="15" customHeight="1" s="105">
      <c r="A14" s="107" t="inlineStr">
        <is>
          <t>Sources: EIA STEO Oct-2026 table 3a; IEA OMR Oct 14, 2026; OPEC MOMR July 2026 as reported by Argus (Jul 13). The October OPEC MOMR could not be retrieved.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8EA9DB"/>
    <outlinePr summaryBelow="1" summaryRight="1"/>
    <pageSetUpPr fitToPage="0"/>
  </sheetPr>
  <dimension ref="A1:J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44" customWidth="1" style="104" min="1" max="1"/>
    <col width="13" customWidth="1" style="104" min="2" max="10"/>
  </cols>
  <sheetData>
    <row r="1" ht="17.25" customHeight="1" s="105">
      <c r="A1" s="106" t="inlineStr">
        <is>
          <t>OPEC+ – crude production vs targets</t>
        </is>
      </c>
    </row>
    <row r="2" ht="15" customHeight="1" s="105">
      <c r="A2" s="107" t="inlineStr">
        <is>
          <t>mb/d · source: IEA Oil Market Report Oct-2026, OPEC+ crude oil production table</t>
        </is>
      </c>
    </row>
    <row r="4" ht="23.25" customHeight="1" s="105">
      <c r="A4" s="122" t="inlineStr">
        <is>
          <t>Country</t>
        </is>
      </c>
      <c r="B4" s="122" t="inlineStr">
        <is>
          <t>Aug-26</t>
        </is>
      </c>
      <c r="C4" s="122" t="inlineStr">
        <is>
          <t>Sep-26</t>
        </is>
      </c>
      <c r="D4" s="122" t="inlineStr">
        <is>
          <t>Chg m/m</t>
        </is>
      </c>
      <c r="E4" s="122" t="inlineStr">
        <is>
          <t>Target Sep-26</t>
        </is>
      </c>
      <c r="F4" s="122" t="inlineStr">
        <is>
          <t>Vs target</t>
        </is>
      </c>
      <c r="G4" s="122" t="inlineStr">
        <is>
          <t>% of target</t>
        </is>
      </c>
      <c r="H4" s="122" t="inlineStr">
        <is>
          <t>Sustainable capacity</t>
        </is>
      </c>
      <c r="I4" s="122" t="inlineStr">
        <is>
          <t>Capacity − production</t>
        </is>
      </c>
      <c r="J4" s="122" t="inlineStr">
        <is>
          <t>Group</t>
        </is>
      </c>
    </row>
    <row r="5" ht="15" customHeight="1" s="105">
      <c r="A5" s="110" t="inlineStr">
        <is>
          <t>Algeria</t>
        </is>
      </c>
      <c r="B5" s="182" t="n">
        <v>0.98</v>
      </c>
      <c r="C5" s="182" t="n">
        <v>0.98</v>
      </c>
      <c r="D5" s="133">
        <f>C5-B5</f>
        <v/>
      </c>
      <c r="E5" s="182" t="n">
        <v>1.01</v>
      </c>
      <c r="F5" s="133">
        <f>C5-E5</f>
        <v/>
      </c>
      <c r="G5" s="151">
        <f>IF(E5=0,0,C5/E5)</f>
        <v/>
      </c>
      <c r="H5" s="182" t="n">
        <v>1</v>
      </c>
      <c r="I5" s="133">
        <f>H5-C5</f>
        <v/>
      </c>
      <c r="J5" s="107" t="inlineStr">
        <is>
          <t>OPEC-8</t>
        </is>
      </c>
    </row>
    <row r="6" ht="15" customHeight="1" s="105">
      <c r="A6" s="110" t="inlineStr">
        <is>
          <t>Congo</t>
        </is>
      </c>
      <c r="B6" s="182" t="n">
        <v>0.26</v>
      </c>
      <c r="C6" s="182" t="n">
        <v>0.26</v>
      </c>
      <c r="D6" s="133">
        <f>C6-B6</f>
        <v/>
      </c>
      <c r="E6" s="182" t="n">
        <v>0.28</v>
      </c>
      <c r="F6" s="133">
        <f>C6-E6</f>
        <v/>
      </c>
      <c r="G6" s="151">
        <f>IF(E6=0,0,C6/E6)</f>
        <v/>
      </c>
      <c r="H6" s="182" t="n">
        <v>0.27</v>
      </c>
      <c r="I6" s="133">
        <f>H6-C6</f>
        <v/>
      </c>
      <c r="J6" s="107" t="inlineStr">
        <is>
          <t>OPEC-8</t>
        </is>
      </c>
    </row>
    <row r="7" ht="15" customHeight="1" s="105">
      <c r="A7" s="110" t="inlineStr">
        <is>
          <t>Equatorial Guinea</t>
        </is>
      </c>
      <c r="B7" s="182" t="n">
        <v>0.04</v>
      </c>
      <c r="C7" s="182" t="n">
        <v>0.04</v>
      </c>
      <c r="D7" s="133">
        <f>C7-B7</f>
        <v/>
      </c>
      <c r="E7" s="182" t="n">
        <v>0.07000000000000001</v>
      </c>
      <c r="F7" s="133">
        <f>C7-E7</f>
        <v/>
      </c>
      <c r="G7" s="151">
        <f>IF(E7=0,0,C7/E7)</f>
        <v/>
      </c>
      <c r="H7" s="182" t="n">
        <v>0.05</v>
      </c>
      <c r="I7" s="133">
        <f>H7-C7</f>
        <v/>
      </c>
      <c r="J7" s="107" t="inlineStr">
        <is>
          <t>OPEC-8</t>
        </is>
      </c>
    </row>
    <row r="8" ht="15" customHeight="1" s="105">
      <c r="A8" s="110" t="inlineStr">
        <is>
          <t>Gabon</t>
        </is>
      </c>
      <c r="B8" s="182" t="n">
        <v>0.2</v>
      </c>
      <c r="C8" s="182" t="n">
        <v>0.19</v>
      </c>
      <c r="D8" s="133">
        <f>C8-B8</f>
        <v/>
      </c>
      <c r="E8" s="182" t="n">
        <v>0.18</v>
      </c>
      <c r="F8" s="133">
        <f>C8-E8</f>
        <v/>
      </c>
      <c r="G8" s="151">
        <f>IF(E8=0,0,C8/E8)</f>
        <v/>
      </c>
      <c r="H8" s="182" t="n">
        <v>0.22</v>
      </c>
      <c r="I8" s="133">
        <f>H8-C8</f>
        <v/>
      </c>
      <c r="J8" s="107" t="inlineStr">
        <is>
          <t>OPEC-8</t>
        </is>
      </c>
    </row>
    <row r="9" ht="15" customHeight="1" s="105">
      <c r="A9" s="110" t="inlineStr">
        <is>
          <t>Iraq</t>
        </is>
      </c>
      <c r="B9" s="182" t="n">
        <v>3.58</v>
      </c>
      <c r="C9" s="182" t="n">
        <v>4.1</v>
      </c>
      <c r="D9" s="133">
        <f>C9-B9</f>
        <v/>
      </c>
      <c r="E9" s="182" t="n">
        <v>4.43</v>
      </c>
      <c r="F9" s="133">
        <f>C9-E9</f>
        <v/>
      </c>
      <c r="G9" s="151">
        <f>IF(E9=0,0,C9/E9)</f>
        <v/>
      </c>
      <c r="H9" s="182" t="n">
        <v>4.87</v>
      </c>
      <c r="I9" s="133">
        <f>H9-C9</f>
        <v/>
      </c>
      <c r="J9" s="107" t="inlineStr">
        <is>
          <t>OPEC-8</t>
        </is>
      </c>
    </row>
    <row r="10" ht="15" customHeight="1" s="105">
      <c r="A10" s="110" t="inlineStr">
        <is>
          <t>Kuwait</t>
        </is>
      </c>
      <c r="B10" s="182" t="n">
        <v>2.04</v>
      </c>
      <c r="C10" s="182" t="n">
        <v>1.49</v>
      </c>
      <c r="D10" s="133">
        <f>C10-B10</f>
        <v/>
      </c>
      <c r="E10" s="182" t="n">
        <v>2.68</v>
      </c>
      <c r="F10" s="133">
        <f>C10-E10</f>
        <v/>
      </c>
      <c r="G10" s="151">
        <f>IF(E10=0,0,C10/E10)</f>
        <v/>
      </c>
      <c r="H10" s="182" t="n">
        <v>2.88</v>
      </c>
      <c r="I10" s="133">
        <f>H10-C10</f>
        <v/>
      </c>
      <c r="J10" s="107" t="inlineStr">
        <is>
          <t>OPEC-8</t>
        </is>
      </c>
    </row>
    <row r="11" ht="15" customHeight="1" s="105">
      <c r="A11" s="110" t="inlineStr">
        <is>
          <t>Nigeria</t>
        </is>
      </c>
      <c r="B11" s="182" t="n">
        <v>1.5</v>
      </c>
      <c r="C11" s="182" t="n">
        <v>1.42</v>
      </c>
      <c r="D11" s="133">
        <f>C11-B11</f>
        <v/>
      </c>
      <c r="E11" s="182" t="n">
        <v>1.5</v>
      </c>
      <c r="F11" s="133">
        <f>C11-E11</f>
        <v/>
      </c>
      <c r="G11" s="151">
        <f>IF(E11=0,0,C11/E11)</f>
        <v/>
      </c>
      <c r="H11" s="182" t="n">
        <v>1.45</v>
      </c>
      <c r="I11" s="133">
        <f>H11-C11</f>
        <v/>
      </c>
      <c r="J11" s="107" t="inlineStr">
        <is>
          <t>OPEC-8</t>
        </is>
      </c>
    </row>
    <row r="12" ht="15" customHeight="1" s="105">
      <c r="A12" s="110" t="inlineStr">
        <is>
          <t>Saudi Arabia</t>
        </is>
      </c>
      <c r="B12" s="182" t="n">
        <v>5.97</v>
      </c>
      <c r="C12" s="182" t="n">
        <v>8.300000000000001</v>
      </c>
      <c r="D12" s="133">
        <f>C12-B12</f>
        <v/>
      </c>
      <c r="E12" s="182" t="n">
        <v>10.48</v>
      </c>
      <c r="F12" s="133">
        <f>C12-E12</f>
        <v/>
      </c>
      <c r="G12" s="151">
        <f>IF(E12=0,0,C12/E12)</f>
        <v/>
      </c>
      <c r="H12" s="182" t="n">
        <v>12.11</v>
      </c>
      <c r="I12" s="133">
        <f>H12-C12</f>
        <v/>
      </c>
      <c r="J12" s="107" t="inlineStr">
        <is>
          <t>OPEC-8</t>
        </is>
      </c>
    </row>
    <row r="13" ht="15" customHeight="1" s="105">
      <c r="A13" s="110" t="inlineStr">
        <is>
          <t>Iran</t>
        </is>
      </c>
      <c r="B13" s="182" t="n">
        <v>2.16</v>
      </c>
      <c r="C13" s="182" t="n">
        <v>1.94</v>
      </c>
      <c r="D13" s="133">
        <f>C13-B13</f>
        <v/>
      </c>
      <c r="E13" s="107" t="inlineStr">
        <is>
          <t>exempt</t>
        </is>
      </c>
      <c r="F13" s="110" t="n"/>
      <c r="G13" s="110" t="n"/>
      <c r="H13" s="182" t="n">
        <v>3.8</v>
      </c>
      <c r="I13" s="133">
        <f>H13-C13</f>
        <v/>
      </c>
      <c r="J13" s="107" t="inlineStr">
        <is>
          <t>OPEC exempt</t>
        </is>
      </c>
    </row>
    <row r="14" ht="15" customHeight="1" s="105">
      <c r="A14" s="110" t="inlineStr">
        <is>
          <t>Libya</t>
        </is>
      </c>
      <c r="B14" s="182" t="n">
        <v>1.38</v>
      </c>
      <c r="C14" s="182" t="n">
        <v>1.29</v>
      </c>
      <c r="D14" s="133">
        <f>C14-B14</f>
        <v/>
      </c>
      <c r="E14" s="107" t="inlineStr">
        <is>
          <t>exempt</t>
        </is>
      </c>
      <c r="F14" s="110" t="n"/>
      <c r="G14" s="110" t="n"/>
      <c r="H14" s="182" t="n">
        <v>1.34</v>
      </c>
      <c r="I14" s="133">
        <f>H14-C14</f>
        <v/>
      </c>
      <c r="J14" s="107" t="inlineStr">
        <is>
          <t>OPEC exempt</t>
        </is>
      </c>
    </row>
    <row r="15" ht="15" customHeight="1" s="105">
      <c r="A15" s="110" t="inlineStr">
        <is>
          <t>Venezuela</t>
        </is>
      </c>
      <c r="B15" s="182" t="n">
        <v>1.16</v>
      </c>
      <c r="C15" s="182" t="n">
        <v>1.16</v>
      </c>
      <c r="D15" s="133">
        <f>C15-B15</f>
        <v/>
      </c>
      <c r="E15" s="107" t="inlineStr">
        <is>
          <t>exempt</t>
        </is>
      </c>
      <c r="F15" s="110" t="n"/>
      <c r="G15" s="110" t="n"/>
      <c r="H15" s="182" t="n">
        <v>1.12</v>
      </c>
      <c r="I15" s="133">
        <f>H15-C15</f>
        <v/>
      </c>
      <c r="J15" s="107" t="inlineStr">
        <is>
          <t>OPEC exempt</t>
        </is>
      </c>
    </row>
    <row r="16" ht="15" customHeight="1" s="105">
      <c r="A16" s="110" t="inlineStr">
        <is>
          <t>Azerbaijan</t>
        </is>
      </c>
      <c r="B16" s="182" t="n">
        <v>0.41</v>
      </c>
      <c r="C16" s="182" t="n">
        <v>0.44</v>
      </c>
      <c r="D16" s="133">
        <f>C16-B16</f>
        <v/>
      </c>
      <c r="E16" s="182" t="n">
        <v>0.55</v>
      </c>
      <c r="F16" s="133">
        <f>C16-E16</f>
        <v/>
      </c>
      <c r="G16" s="151">
        <f>IF(E16=0,0,C16/E16)</f>
        <v/>
      </c>
      <c r="H16" s="182" t="n">
        <v>0.44</v>
      </c>
      <c r="I16" s="133">
        <f>H16-C16</f>
        <v/>
      </c>
      <c r="J16" s="107" t="inlineStr">
        <is>
          <t>Non-OPEC</t>
        </is>
      </c>
    </row>
    <row r="17" ht="15" customHeight="1" s="105">
      <c r="A17" s="110" t="inlineStr">
        <is>
          <t>Kazakhstan</t>
        </is>
      </c>
      <c r="B17" s="182" t="n">
        <v>1.87</v>
      </c>
      <c r="C17" s="182" t="n">
        <v>1.86</v>
      </c>
      <c r="D17" s="133">
        <f>C17-B17</f>
        <v/>
      </c>
      <c r="E17" s="182" t="n">
        <v>1.63</v>
      </c>
      <c r="F17" s="133">
        <f>C17-E17</f>
        <v/>
      </c>
      <c r="G17" s="151">
        <f>IF(E17=0,0,C17/E17)</f>
        <v/>
      </c>
      <c r="H17" s="182" t="n">
        <v>1.83</v>
      </c>
      <c r="I17" s="133">
        <f>H17-C17</f>
        <v/>
      </c>
      <c r="J17" s="107" t="inlineStr">
        <is>
          <t>Non-OPEC</t>
        </is>
      </c>
    </row>
    <row r="18" ht="15" customHeight="1" s="105">
      <c r="A18" s="110" t="inlineStr">
        <is>
          <t>Mexico</t>
        </is>
      </c>
      <c r="B18" s="182" t="n">
        <v>1.38</v>
      </c>
      <c r="C18" s="182" t="n">
        <v>1.39</v>
      </c>
      <c r="D18" s="133">
        <f>C18-B18</f>
        <v/>
      </c>
      <c r="E18" s="107" t="inlineStr">
        <is>
          <t>exempt</t>
        </is>
      </c>
      <c r="F18" s="110" t="n"/>
      <c r="G18" s="110" t="n"/>
      <c r="H18" s="182" t="n">
        <v>1.5</v>
      </c>
      <c r="I18" s="133">
        <f>H18-C18</f>
        <v/>
      </c>
      <c r="J18" s="107" t="inlineStr">
        <is>
          <t>Non-OPEC</t>
        </is>
      </c>
    </row>
    <row r="19" ht="15" customHeight="1" s="105">
      <c r="A19" s="110" t="inlineStr">
        <is>
          <t>Oman</t>
        </is>
      </c>
      <c r="B19" s="182" t="n">
        <v>0.87</v>
      </c>
      <c r="C19" s="182" t="n">
        <v>0.89</v>
      </c>
      <c r="D19" s="133">
        <f>C19-B19</f>
        <v/>
      </c>
      <c r="E19" s="182" t="n">
        <v>0.84</v>
      </c>
      <c r="F19" s="133">
        <f>C19-E19</f>
        <v/>
      </c>
      <c r="G19" s="151">
        <f>IF(E19=0,0,C19/E19)</f>
        <v/>
      </c>
      <c r="H19" s="182" t="n">
        <v>0.9</v>
      </c>
      <c r="I19" s="133">
        <f>H19-C19</f>
        <v/>
      </c>
      <c r="J19" s="107" t="inlineStr">
        <is>
          <t>Non-OPEC</t>
        </is>
      </c>
    </row>
    <row r="20" ht="15" customHeight="1" s="105">
      <c r="A20" s="110" t="inlineStr">
        <is>
          <t>Russia</t>
        </is>
      </c>
      <c r="B20" s="182" t="n">
        <v>8.359999999999999</v>
      </c>
      <c r="C20" s="182" t="n">
        <v>8.43</v>
      </c>
      <c r="D20" s="133">
        <f>C20-B20</f>
        <v/>
      </c>
      <c r="E20" s="182" t="n">
        <v>9.949999999999999</v>
      </c>
      <c r="F20" s="133">
        <f>C20-E20</f>
        <v/>
      </c>
      <c r="G20" s="151">
        <f>IF(E20=0,0,C20/E20)</f>
        <v/>
      </c>
      <c r="H20" s="182" t="n">
        <v>9.300000000000001</v>
      </c>
      <c r="I20" s="133">
        <f>H20-C20</f>
        <v/>
      </c>
      <c r="J20" s="107" t="inlineStr">
        <is>
          <t>Non-OPEC</t>
        </is>
      </c>
    </row>
    <row r="21" ht="15" customHeight="1" s="105">
      <c r="A21" s="110" t="inlineStr">
        <is>
          <t>Others (Bahrain, Brunei, Malaysia, Sudan, South Sudan)</t>
        </is>
      </c>
      <c r="B21" s="182" t="n">
        <v>0.64</v>
      </c>
      <c r="C21" s="182" t="n">
        <v>0.64</v>
      </c>
      <c r="D21" s="133">
        <f>C21-B21</f>
        <v/>
      </c>
      <c r="E21" s="182" t="n">
        <v>0.87</v>
      </c>
      <c r="F21" s="133">
        <f>C21-E21</f>
        <v/>
      </c>
      <c r="G21" s="151">
        <f>IF(E21=0,0,C21/E21)</f>
        <v/>
      </c>
      <c r="H21" s="182" t="n">
        <v>0.86</v>
      </c>
      <c r="I21" s="133">
        <f>H21-C21</f>
        <v/>
      </c>
      <c r="J21" s="107" t="inlineStr">
        <is>
          <t>Non-OPEC</t>
        </is>
      </c>
    </row>
    <row r="23" ht="15" customHeight="1" s="105">
      <c r="A23" s="108" t="inlineStr">
        <is>
          <t>Total OPEC-8</t>
        </is>
      </c>
      <c r="B23" s="158">
        <f>SUMIFS(B$5:B$21,$J$5:$J$21,"OPEC-8")</f>
        <v/>
      </c>
      <c r="C23" s="158">
        <f>SUMIFS(C$5:C$21,$J$5:$J$21,"OPEC-8")</f>
        <v/>
      </c>
      <c r="D23" s="158">
        <f>C23-B23</f>
        <v/>
      </c>
      <c r="E23" s="158">
        <f>SUMIFS(E$5:E$21,$J$5:$J$21,"OPEC-8")</f>
        <v/>
      </c>
      <c r="F23" s="158">
        <f>SUMIFS(F$5:F$21,$J$5:$J$21,"OPEC-8")</f>
        <v/>
      </c>
      <c r="H23" s="158">
        <f>SUMIFS(H$5:H$21,$J$5:$J$21,"OPEC-8")</f>
        <v/>
      </c>
      <c r="I23" s="158">
        <f>H23-C23</f>
        <v/>
      </c>
    </row>
    <row r="24" ht="15" customHeight="1" s="105">
      <c r="A24" s="108" t="inlineStr">
        <is>
          <t>Total OPEC exempt</t>
        </is>
      </c>
      <c r="B24" s="158">
        <f>SUMIFS(B$5:B$21,$J$5:$J$21,"OPEC exempt")</f>
        <v/>
      </c>
      <c r="C24" s="158">
        <f>SUMIFS(C$5:C$21,$J$5:$J$21,"OPEC exempt")</f>
        <v/>
      </c>
      <c r="D24" s="158">
        <f>C24-B24</f>
        <v/>
      </c>
      <c r="E24" s="158" t="n"/>
      <c r="H24" s="158">
        <f>SUMIFS(H$5:H$21,$J$5:$J$21,"OPEC exempt")</f>
        <v/>
      </c>
      <c r="I24" s="158">
        <f>H24-C24</f>
        <v/>
      </c>
    </row>
    <row r="25" ht="15" customHeight="1" s="105">
      <c r="A25" s="108" t="inlineStr">
        <is>
          <t>Total non-OPEC (participants)</t>
        </is>
      </c>
      <c r="B25" s="158">
        <f>SUMIFS(B$5:B$21,$J$5:$J$21,"Non-OPEC")</f>
        <v/>
      </c>
      <c r="C25" s="158">
        <f>SUMIFS(C$5:C$21,$J$5:$J$21,"Non-OPEC")</f>
        <v/>
      </c>
      <c r="D25" s="158">
        <f>C25-B25</f>
        <v/>
      </c>
      <c r="E25" s="158">
        <f>SUMIFS(E$5:E$21,$J$5:$J$21,"Non-OPEC")</f>
        <v/>
      </c>
      <c r="F25" s="158">
        <f>SUMIFS(F$5:F$21,$J$5:$J$21,"Non-OPEC")</f>
        <v/>
      </c>
      <c r="H25" s="158">
        <f>SUMIFS(H$5:H$21,$J$5:$J$21,"Non-OPEC")</f>
        <v/>
      </c>
      <c r="I25" s="158">
        <f>H25-C25</f>
        <v/>
      </c>
    </row>
    <row r="26" ht="15" customHeight="1" s="105">
      <c r="A26" s="108" t="inlineStr">
        <is>
          <t>Total OPEC+</t>
        </is>
      </c>
      <c r="B26" s="137">
        <f>SUM(B23:B25)</f>
        <v/>
      </c>
      <c r="C26" s="137">
        <f>SUM(C23:C25)</f>
        <v/>
      </c>
      <c r="D26" s="158">
        <f>C26-B26</f>
        <v/>
      </c>
      <c r="H26" s="137">
        <f>SUM(H23:H25)</f>
        <v/>
      </c>
      <c r="I26" s="158">
        <f>H26-C26</f>
        <v/>
      </c>
    </row>
    <row r="28" ht="15" customHeight="1" s="105">
      <c r="A28" s="107" t="inlineStr">
        <is>
          <t>Check vs IEA: OPEC-8 Sep 16.77 · total OPEC+ Sep 34.8 · Aug 32.8 (differences are rounding)</t>
        </is>
      </c>
    </row>
    <row r="29" ht="15" customHeight="1" s="105">
      <c r="A29" s="107" t="inlineStr">
        <is>
          <t>Note: 'Capacity − production' is NOT usable spare capacity: in the Gulf most of it is blocked by the war (IEA puts effective spare at ~0.27 mb/d).</t>
        </is>
      </c>
    </row>
    <row r="30" ht="15" customHeight="1" s="105">
      <c r="A30" s="107" t="inlineStr">
        <is>
          <t>'Vs target' in the totals only counts countries that have a target.</t>
        </is>
      </c>
    </row>
  </sheetData>
  <conditionalFormatting sqref="F5:F21">
    <cfRule type="cellIs" rank="0" priority="2" equalAverage="0" operator="lessThan" aboveAverage="0" dxfId="0" text="" percent="0" bottom="0">
      <formula>-0.5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8EA9DB"/>
    <outlinePr summaryBelow="1" summaryRight="1"/>
    <pageSetUpPr fitToPage="0"/>
  </sheetPr>
  <dimension ref="A1:G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4" customWidth="1" style="104" min="1" max="1"/>
    <col width="14" customWidth="1" style="104" min="2" max="6"/>
    <col width="52" customWidth="1" style="104" min="7" max="7"/>
  </cols>
  <sheetData>
    <row r="1" ht="17.25" customHeight="1" s="105">
      <c r="A1" s="106" t="inlineStr">
        <is>
          <t>Gulf and Hormuz – export flows</t>
        </is>
      </c>
    </row>
    <row r="2" ht="15" customHeight="1" s="105">
      <c r="A2" s="107" t="inlineStr">
        <is>
          <t>mb/d · IEA OMR Oct-2026 unless stated</t>
        </is>
      </c>
    </row>
    <row r="4" ht="23.25" customHeight="1" s="105">
      <c r="A4" s="122" t="inlineStr">
        <is>
          <t>Flow</t>
        </is>
      </c>
      <c r="B4" s="122" t="inlineStr">
        <is>
          <t>Sep-26</t>
        </is>
      </c>
      <c r="C4" s="122" t="inlineStr">
        <is>
          <t>Chg m/m</t>
        </is>
      </c>
      <c r="D4" s="122" t="inlineStr">
        <is>
          <t>Aug-26 (calc.)</t>
        </is>
      </c>
      <c r="E4" s="122" t="inlineStr">
        <is>
          <t>Pre-war</t>
        </is>
      </c>
      <c r="F4" s="122" t="inlineStr">
        <is>
          <t>Sep vs pre-war</t>
        </is>
      </c>
      <c r="G4" s="122" t="inlineStr">
        <is>
          <t>Source</t>
        </is>
      </c>
    </row>
    <row r="5" ht="15" customHeight="1" s="105">
      <c r="A5" s="110" t="inlineStr">
        <is>
          <t>Gulf producers' crude exports</t>
        </is>
      </c>
      <c r="B5" s="182" t="n">
        <v>13.9</v>
      </c>
      <c r="C5" s="182" t="n">
        <v>4.4</v>
      </c>
      <c r="D5" s="133">
        <f>B5-C5</f>
        <v/>
      </c>
      <c r="G5" s="107" t="inlineStr">
        <is>
          <t>IEA: &gt;75% of pre-war</t>
        </is>
      </c>
    </row>
    <row r="6" ht="15" customHeight="1" s="105">
      <c r="A6" s="110" t="inlineStr">
        <is>
          <t>Total flows through Hormuz</t>
        </is>
      </c>
      <c r="B6" s="182" t="n">
        <v>10.9</v>
      </c>
      <c r="C6" s="182" t="n">
        <v>3.7</v>
      </c>
      <c r="D6" s="133">
        <f>B6-C6</f>
        <v/>
      </c>
      <c r="G6" s="107" t="inlineStr">
        <is>
          <t>IEA</t>
        </is>
      </c>
    </row>
    <row r="7" ht="15" customHeight="1" s="105">
      <c r="A7" s="110" t="inlineStr">
        <is>
          <t>Exports bypassing Hormuz (East-West pipeline etc.)</t>
        </is>
      </c>
      <c r="B7" s="182" t="n">
        <v>5.6</v>
      </c>
      <c r="C7" s="182" t="n">
        <v>0.97</v>
      </c>
      <c r="D7" s="133">
        <f>B7-C7</f>
        <v/>
      </c>
      <c r="G7" s="107" t="inlineStr">
        <is>
          <t>IEA</t>
        </is>
      </c>
    </row>
    <row r="8" ht="15" customHeight="1" s="105">
      <c r="A8" s="110" t="inlineStr">
        <is>
          <t>Refined products from the Middle East</t>
        </is>
      </c>
      <c r="B8" s="182" t="n">
        <v>1.9</v>
      </c>
      <c r="C8" s="182" t="n">
        <v>0.21</v>
      </c>
      <c r="D8" s="133">
        <f>B8-C8</f>
        <v/>
      </c>
      <c r="E8" s="182" t="n">
        <v>4.7</v>
      </c>
      <c r="F8" s="151">
        <f>IF(E8=0,0,B8/E8)</f>
        <v/>
      </c>
      <c r="G8" s="107" t="inlineStr">
        <is>
          <t>IEA</t>
        </is>
      </c>
    </row>
    <row r="9" ht="15" customHeight="1" s="105">
      <c r="A9" s="110" t="inlineStr">
        <is>
          <t>LPG from the Middle East</t>
        </is>
      </c>
      <c r="B9" s="182" t="n">
        <v>0.67</v>
      </c>
      <c r="C9" s="182" t="n">
        <v>0.09</v>
      </c>
      <c r="D9" s="133">
        <f>B9-C9</f>
        <v/>
      </c>
      <c r="E9" s="182" t="n">
        <v>1.5</v>
      </c>
      <c r="F9" s="151">
        <f>IF(E9=0,0,B9/E9)</f>
        <v/>
      </c>
      <c r="G9" s="107" t="inlineStr">
        <is>
          <t>IEA</t>
        </is>
      </c>
    </row>
    <row r="10" ht="15" customHeight="1" s="105">
      <c r="A10" s="110" t="inlineStr">
        <is>
          <t>Middle East crude exports (Kpler, different scope)</t>
        </is>
      </c>
      <c r="B10" s="182" t="n">
        <v>16.328</v>
      </c>
      <c r="E10" s="182" t="n">
        <v>19.513</v>
      </c>
      <c r="F10" s="151">
        <f>IF(E10=0,0,B10/E10)</f>
        <v/>
      </c>
      <c r="G10" s="107" t="inlineStr">
        <is>
          <t>Kpler via Al Jazeera, Feb-26 = pre-war</t>
        </is>
      </c>
    </row>
    <row r="12" ht="15" customHeight="1" s="105">
      <c r="A12" s="108" t="inlineStr">
        <is>
          <t>Diesel/gasoil: global availability vs a year earlier</t>
        </is>
      </c>
    </row>
    <row r="13" ht="15" customHeight="1" s="105">
      <c r="A13" s="110" t="inlineStr">
        <is>
          <t>2Q26</t>
        </is>
      </c>
      <c r="B13" s="182" t="n">
        <v>-1.5</v>
      </c>
      <c r="G13" s="107" t="inlineStr">
        <is>
          <t>IEA: −1.5 mb/d y/y</t>
        </is>
      </c>
    </row>
    <row r="14" ht="15" customHeight="1" s="105">
      <c r="A14" s="110" t="inlineStr">
        <is>
          <t>3Q26</t>
        </is>
      </c>
      <c r="B14" s="182" t="n">
        <v>-1.7</v>
      </c>
      <c r="G14" s="107" t="inlineStr">
        <is>
          <t>IEA: −1.7 mb/d y/y</t>
        </is>
      </c>
    </row>
    <row r="15" ht="15" customHeight="1" s="105">
      <c r="A15" s="110" t="inlineStr">
        <is>
          <t>Middle East + Russia net gasoil exports (Sep-26)</t>
        </is>
      </c>
      <c r="B15" s="182" t="n">
        <v>0.82</v>
      </c>
      <c r="C15" s="182" t="n">
        <v>-1.3</v>
      </c>
      <c r="D15" s="133">
        <f>B15-C15</f>
        <v/>
      </c>
      <c r="G15" s="107" t="inlineStr">
        <is>
          <t>IEA: −1.3 mb/d y/y (column C = y/y change, D = year earlier)</t>
        </is>
      </c>
    </row>
    <row r="17" ht="15" customHeight="1" s="105">
      <c r="A17" s="107" t="inlineStr">
        <is>
          <t>Read: Gulf crude is nearly back, refined products are not. That is why diesel stays expensive even with more crude on the market.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8EA9DB"/>
    <outlinePr summaryBelow="1" summaryRight="1"/>
    <pageSetUpPr fitToPage="0"/>
  </sheetPr>
  <dimension ref="A1:F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104" min="1" max="1"/>
    <col width="13" customWidth="1" style="104" min="2" max="4"/>
    <col width="70" customWidth="1" style="104" min="5" max="5"/>
    <col width="34" customWidth="1" style="104" min="6" max="6"/>
  </cols>
  <sheetData>
    <row r="1" ht="17.25" customHeight="1" s="105">
      <c r="A1" s="106" t="inlineStr">
        <is>
          <t>United States – weekly inventories and Hurricane Isaias</t>
        </is>
      </c>
    </row>
    <row r="2" ht="15" customHeight="1" s="105">
      <c r="A2" s="107" t="inlineStr">
        <is>
          <t>Changes in million barrels · EIA Weekly Petroleum Status Report</t>
        </is>
      </c>
    </row>
    <row r="4" ht="15" customHeight="1" s="105">
      <c r="A4" s="122" t="inlineStr">
        <is>
          <t>Week ending</t>
        </is>
      </c>
      <c r="B4" s="122" t="inlineStr">
        <is>
          <t>EIA actual</t>
        </is>
      </c>
      <c r="C4" s="122" t="inlineStr">
        <is>
          <t>Expected</t>
        </is>
      </c>
      <c r="D4" s="122" t="inlineStr">
        <is>
          <t>Surprise</t>
        </is>
      </c>
      <c r="E4" s="122" t="inlineStr">
        <is>
          <t>Read</t>
        </is>
      </c>
      <c r="F4" s="122" t="inlineStr">
        <is>
          <t>Source</t>
        </is>
      </c>
    </row>
    <row r="5" ht="15" customHeight="1" s="105">
      <c r="A5" s="188" t="inlineStr">
        <is>
          <t>2026-09-18</t>
        </is>
      </c>
      <c r="B5" s="182" t="n">
        <v>2.969</v>
      </c>
      <c r="C5" s="182" t="n">
        <v>-0.6</v>
      </c>
      <c r="D5" s="133">
        <f>IF(B5="","",B5-C5)</f>
        <v/>
      </c>
      <c r="E5" s="110">
        <f>IF(B5="","pending",IF(B5-C5&lt;0,"Draw vs consensus → bullish","Build vs consensus → bearish"))</f>
        <v/>
      </c>
      <c r="F5" s="107" t="inlineStr">
        <is>
          <t>Trading Economics</t>
        </is>
      </c>
    </row>
    <row r="6" ht="15" customHeight="1" s="105">
      <c r="A6" s="188" t="inlineStr">
        <is>
          <t>2026-09-25</t>
        </is>
      </c>
      <c r="B6" s="182" t="n">
        <v>0.922</v>
      </c>
      <c r="C6" s="182" t="n">
        <v>-0.3</v>
      </c>
      <c r="D6" s="133">
        <f>IF(B6="","",B6-C6)</f>
        <v/>
      </c>
      <c r="E6" s="110">
        <f>IF(B6="","pending",IF(B6-C6&lt;0,"Draw vs consensus → bullish","Build vs consensus → bearish"))</f>
        <v/>
      </c>
      <c r="F6" s="107" t="inlineStr">
        <is>
          <t>Trading Economics</t>
        </is>
      </c>
    </row>
    <row r="7" ht="15" customHeight="1" s="105">
      <c r="A7" s="188" t="inlineStr">
        <is>
          <t>2026-10-02</t>
        </is>
      </c>
      <c r="B7" s="182" t="n">
        <v>-3.186</v>
      </c>
      <c r="C7" s="182" t="n">
        <v>1.7</v>
      </c>
      <c r="D7" s="133">
        <f>IF(B7="","",B7-C7)</f>
        <v/>
      </c>
      <c r="E7" s="110">
        <f>IF(B7="","pending",IF(B7-C7&lt;0,"Draw vs consensus → bullish","Build vs consensus → bearish"))</f>
        <v/>
      </c>
      <c r="F7" s="107" t="inlineStr">
        <is>
          <t>Trading Economics / EIA</t>
        </is>
      </c>
    </row>
    <row r="8" ht="15" customHeight="1" s="105">
      <c r="A8" s="188" t="inlineStr">
        <is>
          <t>2026-10-09</t>
        </is>
      </c>
      <c r="B8" s="189" t="n"/>
      <c r="C8" s="182" t="n">
        <v>1.9</v>
      </c>
      <c r="D8" s="133">
        <f>IF(B8="","",B8-C8)</f>
        <v/>
      </c>
      <c r="E8" s="110">
        <f>IF(B8="","pending",IF(B8-C8&lt;0,"Draw vs consensus → bullish","Build vs consensus → bearish"))</f>
        <v/>
      </c>
      <c r="F8" s="107" t="inlineStr">
        <is>
          <t>Out Oct 15 18:00 CET · expected = API consensus (Investing.com)</t>
        </is>
      </c>
    </row>
    <row r="10" ht="15" customHeight="1" s="105">
      <c r="A10" s="108" t="inlineStr">
        <is>
          <t>Levels and detail (week to Oct 2)</t>
        </is>
      </c>
    </row>
    <row r="11" ht="15" customHeight="1" s="105">
      <c r="A11" s="122" t="inlineStr">
        <is>
          <t>Line item</t>
        </is>
      </c>
      <c r="B11" s="122" t="inlineStr">
        <is>
          <t>Value</t>
        </is>
      </c>
      <c r="C11" s="122" t="inlineStr">
        <is>
          <t>Unit</t>
        </is>
      </c>
      <c r="D11" s="122" t="n"/>
      <c r="E11" s="122" t="inlineStr">
        <is>
          <t>Note</t>
        </is>
      </c>
      <c r="F11" s="122" t="inlineStr">
        <is>
          <t>Source</t>
        </is>
      </c>
    </row>
    <row r="12" ht="15" customHeight="1" s="105">
      <c r="A12" s="110" t="inlineStr">
        <is>
          <t>Commercial crude stocks</t>
        </is>
      </c>
      <c r="B12" s="190" t="n">
        <v>424.1</v>
      </c>
      <c r="C12" s="110" t="inlineStr">
        <is>
          <t>mb</t>
        </is>
      </c>
      <c r="E12" s="107" t="inlineStr">
        <is>
          <t>~1% above 5-year average</t>
        </is>
      </c>
      <c r="F12" s="107" t="inlineStr">
        <is>
          <t>EIA WPSR</t>
        </is>
      </c>
    </row>
    <row r="13" ht="15" customHeight="1" s="105">
      <c r="A13" s="110" t="inlineStr">
        <is>
          <t>Strategic Petroleum Reserve (SPR)</t>
        </is>
      </c>
      <c r="B13" s="190" t="n">
        <v>283</v>
      </c>
      <c r="C13" s="110" t="inlineStr">
        <is>
          <t>mb</t>
        </is>
      </c>
      <c r="E13" s="107" t="inlineStr">
        <is>
          <t>Lowest since 1982</t>
        </is>
      </c>
      <c r="F13" s="107" t="inlineStr">
        <is>
          <t>EIA WPSR</t>
        </is>
      </c>
    </row>
    <row r="14" ht="15" customHeight="1" s="105">
      <c r="A14" s="110" t="inlineStr">
        <is>
          <t>Cushing stock change</t>
        </is>
      </c>
      <c r="B14" s="191" t="n">
        <v>0.444</v>
      </c>
      <c r="C14" s="110" t="inlineStr">
        <is>
          <t>mb</t>
        </is>
      </c>
      <c r="E14" s="107" t="inlineStr">
        <is>
          <t>WTI delivery hub</t>
        </is>
      </c>
      <c r="F14" s="107" t="inlineStr">
        <is>
          <t>Trading Economics</t>
        </is>
      </c>
    </row>
    <row r="15" ht="15" customHeight="1" s="105">
      <c r="A15" s="110" t="inlineStr">
        <is>
          <t>Gasoline stock change</t>
        </is>
      </c>
      <c r="B15" s="191" t="n">
        <v>0.382</v>
      </c>
      <c r="C15" s="110" t="inlineStr">
        <is>
          <t>mb</t>
        </is>
      </c>
      <c r="E15" s="107" t="n"/>
      <c r="F15" s="107" t="inlineStr">
        <is>
          <t>Trading Economics</t>
        </is>
      </c>
    </row>
    <row r="16" ht="15" customHeight="1" s="105">
      <c r="A16" s="110" t="inlineStr">
        <is>
          <t>Distillate stock change</t>
        </is>
      </c>
      <c r="B16" s="191" t="n">
        <v>-0.042</v>
      </c>
      <c r="C16" s="110" t="inlineStr">
        <is>
          <t>mb</t>
        </is>
      </c>
      <c r="E16" s="107" t="inlineStr">
        <is>
          <t>Distillates at lowest for early October since the 1980s (CNN)</t>
        </is>
      </c>
      <c r="F16" s="107" t="inlineStr">
        <is>
          <t>Trading Economics</t>
        </is>
      </c>
    </row>
    <row r="18" ht="15" customHeight="1" s="105">
      <c r="A18" s="108" t="inlineStr">
        <is>
          <t>Hurricane Isaias – Gulf of Mexico shut-ins</t>
        </is>
      </c>
    </row>
    <row r="19" ht="15" customHeight="1" s="105">
      <c r="A19" s="110" t="inlineStr">
        <is>
          <t>Gulf of Mexico offshore output (base)</t>
        </is>
      </c>
      <c r="B19" s="189" t="n">
        <v>2</v>
      </c>
      <c r="C19" s="110" t="inlineStr">
        <is>
          <t>mb/d</t>
        </is>
      </c>
      <c r="E19" s="107" t="inlineStr">
        <is>
          <t>EIA: ~2 mb/d, about 15% of U.S. crude</t>
        </is>
      </c>
    </row>
    <row r="20" ht="15" customHeight="1" s="105">
      <c r="A20" s="122" t="inlineStr">
        <is>
          <t>Day</t>
        </is>
      </c>
      <c r="B20" s="122" t="inlineStr">
        <is>
          <t>% shut in</t>
        </is>
      </c>
      <c r="C20" s="122" t="inlineStr">
        <is>
          <t>mb/d shut in</t>
        </is>
      </c>
      <c r="D20" s="122" t="n"/>
      <c r="E20" s="122" t="inlineStr">
        <is>
          <t>Note</t>
        </is>
      </c>
      <c r="F20" s="122" t="inlineStr">
        <is>
          <t>Source</t>
        </is>
      </c>
    </row>
    <row r="21" ht="15" customHeight="1" s="105">
      <c r="A21" s="188" t="inlineStr">
        <is>
          <t>2026-10-06</t>
        </is>
      </c>
      <c r="B21" s="192" t="n">
        <v>0.0924</v>
      </c>
      <c r="C21" s="133">
        <f>B21*$B$19</f>
        <v/>
      </c>
      <c r="E21" s="107" t="inlineStr">
        <is>
          <t>Before evacuations</t>
        </is>
      </c>
      <c r="F21" s="107" t="inlineStr">
        <is>
          <t>MMA via Reuters/gCaptain</t>
        </is>
      </c>
    </row>
    <row r="22" ht="15" customHeight="1" s="105">
      <c r="A22" s="188" t="inlineStr">
        <is>
          <t>2026-10-07</t>
        </is>
      </c>
      <c r="B22" s="192" t="n">
        <v>0.25</v>
      </c>
      <c r="C22" s="133">
        <f>B22*$B$19</f>
        <v/>
      </c>
      <c r="E22" s="107" t="n"/>
      <c r="F22" s="107" t="inlineStr">
        <is>
          <t>MMA via Reuters/gCaptain</t>
        </is>
      </c>
    </row>
    <row r="23" ht="15" customHeight="1" s="105">
      <c r="A23" s="188" t="inlineStr">
        <is>
          <t>2026-10-08</t>
        </is>
      </c>
      <c r="B23" s="192" t="n">
        <v>0.63</v>
      </c>
      <c r="C23" s="133">
        <f>B23*$B$19</f>
        <v/>
      </c>
      <c r="E23" s="107" t="inlineStr">
        <is>
          <t>1.28 mb/d reported</t>
        </is>
      </c>
      <c r="F23" s="107" t="inlineStr">
        <is>
          <t>MMA via Reuters/gCaptain</t>
        </is>
      </c>
    </row>
    <row r="24" ht="15" customHeight="1" s="105">
      <c r="A24" s="188" t="inlineStr">
        <is>
          <t>2026-10-09</t>
        </is>
      </c>
      <c r="B24" s="192" t="n">
        <v>0.72</v>
      </c>
      <c r="C24" s="133">
        <f>B24*$B$19</f>
        <v/>
      </c>
      <c r="E24" s="107" t="inlineStr">
        <is>
          <t>~1.5 mb/d · landfall near Destin (FL) in the evening</t>
        </is>
      </c>
      <c r="F24" s="107" t="inlineStr">
        <is>
          <t>MMA via Reuters/gCaptain</t>
        </is>
      </c>
    </row>
    <row r="25" ht="15" customHeight="1" s="105">
      <c r="A25" s="108" t="inlineStr">
        <is>
          <t>Production lost in the report week (mb)</t>
        </is>
      </c>
      <c r="C25" s="158">
        <f>SUM(C21:C24)</f>
        <v/>
      </c>
      <c r="E25" s="107" t="inlineStr">
        <is>
          <t>Daily sum: barrels that never reached storage → pushes toward a draw in the Oct 15 report</t>
        </is>
      </c>
    </row>
    <row r="26" ht="15" customHeight="1" s="105">
      <c r="A26" s="110" t="inlineStr">
        <is>
          <t>Market expectation (consensus)</t>
        </is>
      </c>
      <c r="C26" s="143">
        <f>C8</f>
        <v/>
      </c>
    </row>
    <row r="27" ht="15" customHeight="1" s="105">
      <c r="A27" s="108" t="inlineStr">
        <is>
          <t>Consensus minus lost production (indicative)</t>
        </is>
      </c>
      <c r="C27" s="158">
        <f>C26-C25</f>
        <v/>
      </c>
      <c r="E27" s="107" t="inlineStr">
        <is>
          <t>Indicative only: storm-blocked exports and imports may offset</t>
        </is>
      </c>
    </row>
    <row r="28" ht="15" customHeight="1" s="105">
      <c r="A28" s="110" t="inlineStr">
        <is>
          <t>Estimated total loss from the event (mb)</t>
        </is>
      </c>
      <c r="C28" s="182" t="n">
        <v>7.2</v>
      </c>
      <c r="F28" s="107" t="inlineStr">
        <is>
          <t>Earth Science Associates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tabColor rgb="FF8EA9DB"/>
    <outlinePr summaryBelow="1" summaryRight="1"/>
    <pageSetUpPr fitToPage="0"/>
  </sheetPr>
  <dimension ref="A1:F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104" min="1" max="1"/>
    <col width="40" customWidth="1" style="104" min="2" max="2"/>
    <col width="55" customWidth="1" style="104" min="3" max="3"/>
    <col width="15" customWidth="1" style="104" min="4" max="4"/>
    <col width="14" customWidth="1" style="104" min="5" max="5"/>
    <col width="30" customWidth="1" style="104" min="6" max="6"/>
  </cols>
  <sheetData>
    <row r="1" ht="17.25" customHeight="1" s="105">
      <c r="A1" s="106" t="inlineStr">
        <is>
          <t>Catalysts – calendar and risks</t>
        </is>
      </c>
    </row>
    <row r="2" ht="15" customHeight="1" s="105">
      <c r="A2" s="107" t="inlineStr">
        <is>
          <t>Expected effect on the oil price</t>
        </is>
      </c>
    </row>
    <row r="4" ht="23.25" customHeight="1" s="105">
      <c r="A4" s="122" t="inlineStr">
        <is>
          <t>When</t>
        </is>
      </c>
      <c r="B4" s="122" t="inlineStr">
        <is>
          <t>Event</t>
        </is>
      </c>
      <c r="C4" s="122" t="inlineStr">
        <is>
          <t>What to watch</t>
        </is>
      </c>
      <c r="D4" s="122" t="inlineStr">
        <is>
          <t>Expected effect</t>
        </is>
      </c>
      <c r="E4" s="122" t="inlineStr">
        <is>
          <t>Within 3 days of Oct 14</t>
        </is>
      </c>
      <c r="F4" s="122" t="inlineStr">
        <is>
          <t>Outcome (fill in)</t>
        </is>
      </c>
    </row>
    <row r="5" ht="15" customHeight="1" s="105">
      <c r="A5" s="193" t="inlineStr">
        <is>
          <t>Oct 14, 21:30–22:30 CET</t>
        </is>
      </c>
      <c r="B5" s="193" t="inlineStr">
        <is>
          <t>API inventories (week to Oct 9)</t>
        </is>
      </c>
      <c r="C5" s="193" t="inlineStr">
        <is>
          <t>Consensus +1.9 mb: a build would be bearish</t>
        </is>
      </c>
      <c r="D5" s="193" t="inlineStr">
        <is>
          <t>Uncertain</t>
        </is>
      </c>
      <c r="E5" s="193" t="inlineStr">
        <is>
          <t>Yes</t>
        </is>
      </c>
      <c r="F5" s="194" t="n"/>
    </row>
    <row r="6" ht="15" customHeight="1" s="105">
      <c r="A6" s="193" t="inlineStr">
        <is>
          <t>Oct 15, 18:00 CET</t>
        </is>
      </c>
      <c r="B6" s="193" t="inlineStr">
        <is>
          <t>EIA inventories (week to Oct 9)</t>
        </is>
      </c>
      <c r="C6" s="193" t="inlineStr">
        <is>
          <t>Draw risk from the Gulf of Mexico shut-ins</t>
        </is>
      </c>
      <c r="D6" s="193" t="inlineStr">
        <is>
          <t>Up</t>
        </is>
      </c>
      <c r="E6" s="193" t="inlineStr">
        <is>
          <t>Yes</t>
        </is>
      </c>
      <c r="F6" s="194" t="n"/>
    </row>
    <row r="7" ht="15" customHeight="1" s="105">
      <c r="A7" s="193" t="inlineStr">
        <is>
          <t>Ongoing</t>
        </is>
      </c>
      <c r="B7" s="193" t="inlineStr">
        <is>
          <t>Houthi attacks on Saudi Arabia</t>
        </is>
      </c>
      <c r="C7" s="193" t="inlineStr">
        <is>
          <t>Saudi response promised: gap risk</t>
        </is>
      </c>
      <c r="D7" s="193" t="inlineStr">
        <is>
          <t>Up</t>
        </is>
      </c>
      <c r="E7" s="193" t="inlineStr">
        <is>
          <t>Yes</t>
        </is>
      </c>
      <c r="F7" s="194" t="n"/>
    </row>
    <row r="8" ht="15" customHeight="1" s="105">
      <c r="A8" s="193" t="inlineStr">
        <is>
          <t>Ongoing</t>
        </is>
      </c>
      <c r="B8" s="193" t="inlineStr">
        <is>
          <t>Tanker attacks in Hormuz</t>
        </is>
      </c>
      <c r="C8" s="193" t="inlineStr">
        <is>
          <t>At a 7-month high</t>
        </is>
      </c>
      <c r="D8" s="193" t="inlineStr">
        <is>
          <t>Up</t>
        </is>
      </c>
      <c r="E8" s="193" t="inlineStr">
        <is>
          <t>Yes</t>
        </is>
      </c>
      <c r="F8" s="194" t="n"/>
    </row>
    <row r="9" ht="15" customHeight="1" s="105">
      <c r="A9" s="193" t="inlineStr">
        <is>
          <t>Ongoing</t>
        </is>
      </c>
      <c r="B9" s="193" t="inlineStr">
        <is>
          <t>Gulf of Mexico production restart</t>
        </is>
      </c>
      <c r="C9" s="193" t="inlineStr">
        <is>
          <t>Platforms restarting after Isaias</t>
        </is>
      </c>
      <c r="D9" s="193" t="inlineStr">
        <is>
          <t>Down</t>
        </is>
      </c>
      <c r="E9" s="193" t="inlineStr">
        <is>
          <t>Yes</t>
        </is>
      </c>
      <c r="F9" s="194" t="n"/>
    </row>
    <row r="10" ht="15" customHeight="1" s="105">
      <c r="A10" s="193" t="inlineStr">
        <is>
          <t>Ongoing</t>
        </is>
      </c>
      <c r="B10" s="193" t="inlineStr">
        <is>
          <t>US–Iran talks via Qatar</t>
        </is>
      </c>
      <c r="C10" s="193" t="inlineStr">
        <is>
          <t>A deal would deflate the geopolitical premium (~$20)</t>
        </is>
      </c>
      <c r="D10" s="193" t="inlineStr">
        <is>
          <t>Down</t>
        </is>
      </c>
      <c r="E10" s="193" t="inlineStr">
        <is>
          <t>Yes</t>
        </is>
      </c>
      <c r="F10" s="194" t="n"/>
    </row>
    <row r="11" ht="15" customHeight="1" s="105">
      <c r="A11" s="193" t="inlineStr">
        <is>
          <t>Ongoing</t>
        </is>
      </c>
      <c r="B11" s="193" t="inlineStr">
        <is>
          <t>Russia–Ukraine energy truce</t>
        </is>
      </c>
      <c r="C11" s="193" t="inlineStr">
        <is>
          <t>Fragile; Russian diesel volumes are small</t>
        </is>
      </c>
      <c r="D11" s="193" t="inlineStr">
        <is>
          <t>Down</t>
        </is>
      </c>
      <c r="E11" s="193" t="inlineStr">
        <is>
          <t>Yes</t>
        </is>
      </c>
      <c r="F11" s="194" t="n"/>
    </row>
    <row r="12" ht="15" customHeight="1" s="105">
      <c r="A12" s="193" t="inlineStr">
        <is>
          <t>Oct 17–18</t>
        </is>
      </c>
      <c r="B12" s="193" t="inlineStr">
        <is>
          <t>Weekend</t>
        </is>
      </c>
      <c r="C12" s="193" t="inlineStr">
        <is>
          <t>News over the weekend: Monday gap risk</t>
        </is>
      </c>
      <c r="D12" s="193" t="inlineStr">
        <is>
          <t>Uncertain</t>
        </is>
      </c>
      <c r="E12" s="193" t="inlineStr">
        <is>
          <t>Yes</t>
        </is>
      </c>
      <c r="F12" s="194" t="n"/>
    </row>
    <row r="13" ht="15" customHeight="1" s="105">
      <c r="A13" s="193" t="inlineStr">
        <is>
          <t>Oct 21, 16:30 CET</t>
        </is>
      </c>
      <c r="B13" s="193" t="inlineStr">
        <is>
          <t>EIA – first full week after the hurricane</t>
        </is>
      </c>
      <c r="C13" s="193" t="inlineStr">
        <is>
          <t>Production recovery</t>
        </is>
      </c>
      <c r="D13" s="193" t="inlineStr">
        <is>
          <t>Uncertain</t>
        </is>
      </c>
      <c r="E13" s="193" t="inlineStr">
        <is>
          <t>No</t>
        </is>
      </c>
      <c r="F13" s="194" t="n"/>
    </row>
    <row r="14" ht="15" customHeight="1" s="105">
      <c r="A14" s="193" t="inlineStr">
        <is>
          <t>Nov 1</t>
        </is>
      </c>
      <c r="B14" s="193" t="inlineStr">
        <is>
          <t>OPEC+ meeting</t>
        </is>
      </c>
      <c r="C14" s="193" t="inlineStr">
        <is>
          <t>No change expected before 2027</t>
        </is>
      </c>
      <c r="D14" s="193" t="inlineStr">
        <is>
          <t>Neutral</t>
        </is>
      </c>
      <c r="E14" s="193" t="inlineStr">
        <is>
          <t>No</t>
        </is>
      </c>
      <c r="F14" s="194" t="n"/>
    </row>
    <row r="15" ht="15" customHeight="1" s="105">
      <c r="A15" s="193" t="inlineStr">
        <is>
          <t>Nov 10</t>
        </is>
      </c>
      <c r="B15" s="193" t="inlineStr">
        <is>
          <t>EIA Short-Term Energy Outlook</t>
        </is>
      </c>
      <c r="C15" s="193" t="inlineStr">
        <is>
          <t>New price and inventory forecasts</t>
        </is>
      </c>
      <c r="D15" s="193" t="inlineStr">
        <is>
          <t>Uncertain</t>
        </is>
      </c>
      <c r="E15" s="193" t="inlineStr">
        <is>
          <t>No</t>
        </is>
      </c>
      <c r="F15" s="194" t="n"/>
    </row>
    <row r="16" ht="15" customHeight="1" s="105">
      <c r="A16" s="193" t="inlineStr">
        <is>
          <t>Nov 13</t>
        </is>
      </c>
      <c r="B16" s="193" t="inlineStr">
        <is>
          <t>IEA Oil Market Report</t>
        </is>
      </c>
      <c r="C16" s="193" t="inlineStr">
        <is>
          <t>Updated global balance: refresh EIA_Data / Agency_Check</t>
        </is>
      </c>
      <c r="D16" s="193" t="inlineStr">
        <is>
          <t>Uncertain</t>
        </is>
      </c>
      <c r="E16" s="193" t="inlineStr">
        <is>
          <t>No</t>
        </is>
      </c>
      <c r="F16" s="194" t="n"/>
    </row>
  </sheetData>
  <conditionalFormatting sqref="D5:D16">
    <cfRule type="cellIs" rank="0" priority="2" equalAverage="0" operator="equal" aboveAverage="0" dxfId="0" text="" percent="0" bottom="0">
      <formula>"Up"</formula>
    </cfRule>
    <cfRule type="cellIs" rank="0" priority="3" equalAverage="0" operator="equal" aboveAverage="0" dxfId="1" text="" percent="0" bottom="0">
      <formula>"Down"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2026-10-14T17:02:32Z</dcterms:created>
  <dcterms:modified xmlns:dcterms="http://purl.org/dc/terms/" xmlns:xsi="http://www.w3.org/2001/XMLSchema-instance" xsi:type="dcterms:W3CDTF">2026-10-20T09:53:45Z</dcterms:modified>
  <cp:revision>0</cp:revision>
</cp:coreProperties>
</file>