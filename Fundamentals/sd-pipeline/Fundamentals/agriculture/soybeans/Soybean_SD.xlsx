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US_BS" sheetId="3" state="visible" r:id="rId3"/>
    <sheet xmlns:r="http://schemas.openxmlformats.org/officeDocument/2006/relationships" name="World_BS" sheetId="4" state="visible" r:id="rId4"/>
    <sheet xmlns:r="http://schemas.openxmlformats.org/officeDocument/2006/relationships" name="Price_Model" sheetId="5" state="visible" r:id="rId5"/>
    <sheet xmlns:r="http://schemas.openxmlformats.org/officeDocument/2006/relationships" name="Scenarios" sheetId="6" state="visible" r:id="rId6"/>
    <sheet xmlns:r="http://schemas.openxmlformats.org/officeDocument/2006/relationships" name="Crush" sheetId="7" state="visible" r:id="rId7"/>
    <sheet xmlns:r="http://schemas.openxmlformats.org/officeDocument/2006/relationships" name="Spreads" sheetId="8" state="visible" r:id="rId8"/>
    <sheet xmlns:r="http://schemas.openxmlformats.org/officeDocument/2006/relationships" name="Sources" sheetId="9" state="visible" r:id="rId9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0">
    <numFmt numFmtId="164" formatCode="#,##0;\(#,##0\);\-"/>
    <numFmt numFmtId="165" formatCode="0.0%;\(0.0%\);\-"/>
    <numFmt numFmtId="166" formatCode="#,##0.00;\(#,##0.00\);\-"/>
    <numFmt numFmtId="167" formatCode="0.0000"/>
    <numFmt numFmtId="168" formatCode="#,##0.0;\(#,##0.0\);\-"/>
    <numFmt numFmtId="169" formatCode="#,##0.0"/>
    <numFmt numFmtId="170" formatCode="0.000"/>
    <numFmt numFmtId="171" formatCode="0.0%"/>
    <numFmt numFmtId="172" formatCode="#,##0.000;\(#,##0.000\);\-"/>
    <numFmt numFmtId="173" formatCode="0.0\x"/>
  </numFmts>
  <fonts count="1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000000"/>
      <sz val="14"/>
    </font>
    <font>
      <name val="Arial"/>
      <charset val="1"/>
      <family val="0"/>
      <i val="1"/>
      <color rgb="FF595959"/>
      <sz val="10"/>
    </font>
    <font>
      <name val="Arial"/>
      <charset val="1"/>
      <family val="0"/>
      <b val="1"/>
      <color rgb="FF000000"/>
      <sz val="11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008000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0000FF"/>
      <sz val="10"/>
    </font>
    <font>
      <name val="Arial"/>
      <charset val="1"/>
      <family val="0"/>
      <color rgb="FF00800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595959"/>
      <sz val="10"/>
    </font>
    <font>
      <name val="Arial"/>
      <family val="2"/>
      <sz val="10"/>
    </font>
    <font>
      <name val="Arial"/>
      <charset val="1"/>
      <family val="0"/>
      <i val="1"/>
      <color rgb="FF595959"/>
      <sz val="11"/>
    </font>
    <font>
      <name val="Arial"/>
      <charset val="1"/>
      <family val="0"/>
      <color rgb="FF0563C1"/>
      <sz val="10"/>
    </font>
    <font/>
    <font>
      <i val="1"/>
      <color rgb="FF555555"/>
    </font>
  </fonts>
  <fills count="6">
    <fill>
      <patternFill/>
    </fill>
    <fill>
      <patternFill patternType="gray125"/>
    </fill>
    <fill>
      <patternFill patternType="solid">
        <fgColor rgb="FFE2EFDA"/>
        <bgColor rgb="FFD9E1F2"/>
      </patternFill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D9E1F2"/>
        <bgColor rgb="FFE2EFDA"/>
      </patternFill>
    </fill>
  </fills>
  <borders count="2">
    <border>
      <left/>
      <right/>
      <top/>
      <bottom/>
      <diagonal/>
    </border>
    <border/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8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8" fillId="2" borderId="0" applyAlignment="1" pivotButton="0" quotePrefix="0" xfId="0">
      <alignment horizontal="general" vertical="bottom"/>
    </xf>
    <xf numFmtId="165" fontId="8" fillId="2" borderId="0" applyAlignment="1" pivotButton="0" quotePrefix="0" xfId="0">
      <alignment horizontal="general" vertical="bottom"/>
    </xf>
    <xf numFmtId="166" fontId="8" fillId="2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0" fillId="3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12" fillId="4" borderId="0" applyAlignment="1" pivotButton="0" quotePrefix="0" xfId="0">
      <alignment horizontal="center" vertical="center" wrapText="1"/>
    </xf>
    <xf numFmtId="0" fontId="9" fillId="5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167" fontId="10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168" fontId="10" fillId="0" borderId="0" applyAlignment="1" pivotButton="0" quotePrefix="0" xfId="0">
      <alignment horizontal="general" vertical="bottom"/>
    </xf>
    <xf numFmtId="168" fontId="10" fillId="3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general" vertical="bottom"/>
    </xf>
    <xf numFmtId="164" fontId="10" fillId="3" borderId="0" applyAlignment="1" pivotButton="0" quotePrefix="0" xfId="0">
      <alignment horizontal="general" vertical="bottom"/>
    </xf>
    <xf numFmtId="2" fontId="10" fillId="0" borderId="0" applyAlignment="1" pivotButton="0" quotePrefix="0" xfId="0">
      <alignment horizontal="general" vertical="bottom"/>
    </xf>
    <xf numFmtId="4" fontId="10" fillId="0" borderId="0" applyAlignment="1" pivotButton="0" quotePrefix="0" xfId="0">
      <alignment horizontal="general" vertical="bottom"/>
    </xf>
    <xf numFmtId="169" fontId="10" fillId="0" borderId="0" applyAlignment="1" pivotButton="0" quotePrefix="0" xfId="0">
      <alignment horizontal="general" vertical="bottom"/>
    </xf>
    <xf numFmtId="170" fontId="10" fillId="0" borderId="0" applyAlignment="1" pivotButton="0" quotePrefix="0" xfId="0">
      <alignment horizontal="general" vertical="bottom"/>
    </xf>
    <xf numFmtId="171" fontId="10" fillId="0" borderId="0" applyAlignment="1" pivotButton="0" quotePrefix="0" xfId="0">
      <alignment horizontal="general" vertical="bottom"/>
    </xf>
    <xf numFmtId="1" fontId="10" fillId="0" borderId="0" applyAlignment="1" pivotButton="0" quotePrefix="0" xfId="0">
      <alignment horizontal="general" vertical="bottom"/>
    </xf>
    <xf numFmtId="168" fontId="7" fillId="0" borderId="0" applyAlignment="1" pivotButton="0" quotePrefix="0" xfId="0">
      <alignment horizontal="general" vertical="bottom"/>
    </xf>
    <xf numFmtId="168" fontId="11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164" fontId="11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164" fontId="9" fillId="2" borderId="0" applyAlignment="1" pivotButton="0" quotePrefix="0" xfId="0">
      <alignment horizontal="general" vertical="bottom"/>
    </xf>
    <xf numFmtId="165" fontId="9" fillId="2" borderId="0" applyAlignment="1" pivotButton="0" quotePrefix="0" xfId="0">
      <alignment horizontal="general" vertical="bottom"/>
    </xf>
    <xf numFmtId="165" fontId="7" fillId="0" borderId="0" applyAlignment="1" pivotButton="0" quotePrefix="0" xfId="0">
      <alignment horizontal="general" vertical="bottom"/>
    </xf>
    <xf numFmtId="166" fontId="10" fillId="0" borderId="0" applyAlignment="1" pivotButton="0" quotePrefix="0" xfId="0">
      <alignment horizontal="general" vertical="bottom"/>
    </xf>
    <xf numFmtId="166" fontId="7" fillId="0" borderId="0" applyAlignment="1" pivotButton="0" quotePrefix="0" xfId="0">
      <alignment horizontal="general" vertical="bottom"/>
    </xf>
    <xf numFmtId="166" fontId="11" fillId="0" borderId="0" applyAlignment="1" pivotButton="0" quotePrefix="0" xfId="0">
      <alignment horizontal="general" vertical="bottom"/>
    </xf>
    <xf numFmtId="166" fontId="9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166" fontId="7" fillId="2" borderId="0" applyAlignment="1" pivotButton="0" quotePrefix="0" xfId="0">
      <alignment horizontal="general" vertical="bottom"/>
    </xf>
    <xf numFmtId="165" fontId="7" fillId="2" borderId="0" applyAlignment="1" pivotButton="0" quotePrefix="0" xfId="0">
      <alignment horizontal="general" vertical="bottom"/>
    </xf>
    <xf numFmtId="172" fontId="7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center" vertical="center"/>
    </xf>
    <xf numFmtId="170" fontId="7" fillId="0" borderId="0" applyAlignment="1" pivotButton="0" quotePrefix="0" xfId="0">
      <alignment horizontal="general" vertical="bottom"/>
    </xf>
    <xf numFmtId="1" fontId="9" fillId="0" borderId="0" applyAlignment="1" pivotButton="0" quotePrefix="0" xfId="0">
      <alignment horizontal="general" vertical="bottom"/>
    </xf>
    <xf numFmtId="170" fontId="9" fillId="0" borderId="0" applyAlignment="1" pivotButton="0" quotePrefix="0" xfId="0">
      <alignment horizontal="general" vertical="bottom"/>
    </xf>
    <xf numFmtId="172" fontId="9" fillId="0" borderId="0" applyAlignment="1" pivotButton="0" quotePrefix="0" xfId="0">
      <alignment horizontal="general" vertical="bottom"/>
    </xf>
    <xf numFmtId="2" fontId="9" fillId="0" borderId="0" applyAlignment="1" pivotButton="0" quotePrefix="0" xfId="0">
      <alignment horizontal="general" vertical="bottom"/>
    </xf>
    <xf numFmtId="166" fontId="9" fillId="2" borderId="0" applyAlignment="1" pivotButton="0" quotePrefix="0" xfId="0">
      <alignment horizontal="general" vertical="bottom"/>
    </xf>
    <xf numFmtId="165" fontId="11" fillId="0" borderId="0" applyAlignment="1" pivotButton="0" quotePrefix="0" xfId="0">
      <alignment horizontal="general" vertical="bottom"/>
    </xf>
    <xf numFmtId="164" fontId="10" fillId="5" borderId="0" applyAlignment="1" pivotButton="0" quotePrefix="0" xfId="0">
      <alignment horizontal="general" vertical="bottom"/>
    </xf>
    <xf numFmtId="1" fontId="11" fillId="0" borderId="0" applyAlignment="1" pivotButton="0" quotePrefix="0" xfId="0">
      <alignment horizontal="general" vertical="bottom"/>
    </xf>
    <xf numFmtId="173" fontId="7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8" fillId="2" borderId="0" applyAlignment="1" pivotButton="0" quotePrefix="0" xfId="0">
      <alignment horizontal="general" vertical="bottom"/>
    </xf>
    <xf numFmtId="165" fontId="8" fillId="2" borderId="0" applyAlignment="1" pivotButton="0" quotePrefix="0" xfId="0">
      <alignment horizontal="general" vertical="bottom"/>
    </xf>
    <xf numFmtId="166" fontId="8" fillId="2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0" fillId="3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12" fillId="4" borderId="0" applyAlignment="1" pivotButton="0" quotePrefix="0" xfId="0">
      <alignment horizontal="center" vertical="center" wrapText="1"/>
    </xf>
    <xf numFmtId="0" fontId="9" fillId="5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167" fontId="10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168" fontId="10" fillId="0" borderId="0" applyAlignment="1" pivotButton="0" quotePrefix="0" xfId="0">
      <alignment horizontal="general" vertical="bottom"/>
    </xf>
    <xf numFmtId="168" fontId="10" fillId="3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general" vertical="bottom"/>
    </xf>
    <xf numFmtId="164" fontId="10" fillId="3" borderId="0" applyAlignment="1" pivotButton="0" quotePrefix="0" xfId="0">
      <alignment horizontal="general" vertical="bottom"/>
    </xf>
    <xf numFmtId="2" fontId="10" fillId="0" borderId="0" applyAlignment="1" pivotButton="0" quotePrefix="0" xfId="0">
      <alignment horizontal="general" vertical="bottom"/>
    </xf>
    <xf numFmtId="4" fontId="10" fillId="0" borderId="0" applyAlignment="1" pivotButton="0" quotePrefix="0" xfId="0">
      <alignment horizontal="general" vertical="bottom"/>
    </xf>
    <xf numFmtId="169" fontId="10" fillId="0" borderId="0" applyAlignment="1" pivotButton="0" quotePrefix="0" xfId="0">
      <alignment horizontal="general" vertical="bottom"/>
    </xf>
    <xf numFmtId="170" fontId="10" fillId="0" borderId="0" applyAlignment="1" pivotButton="0" quotePrefix="0" xfId="0">
      <alignment horizontal="general" vertical="bottom"/>
    </xf>
    <xf numFmtId="171" fontId="10" fillId="0" borderId="0" applyAlignment="1" pivotButton="0" quotePrefix="0" xfId="0">
      <alignment horizontal="general" vertical="bottom"/>
    </xf>
    <xf numFmtId="1" fontId="10" fillId="0" borderId="0" applyAlignment="1" pivotButton="0" quotePrefix="0" xfId="0">
      <alignment horizontal="general" vertical="bottom"/>
    </xf>
    <xf numFmtId="168" fontId="7" fillId="0" borderId="0" applyAlignment="1" pivotButton="0" quotePrefix="0" xfId="0">
      <alignment horizontal="general" vertical="bottom"/>
    </xf>
    <xf numFmtId="168" fontId="11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164" fontId="11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164" fontId="9" fillId="2" borderId="0" applyAlignment="1" pivotButton="0" quotePrefix="0" xfId="0">
      <alignment horizontal="general" vertical="bottom"/>
    </xf>
    <xf numFmtId="165" fontId="9" fillId="2" borderId="0" applyAlignment="1" pivotButton="0" quotePrefix="0" xfId="0">
      <alignment horizontal="general" vertical="bottom"/>
    </xf>
    <xf numFmtId="165" fontId="7" fillId="0" borderId="0" applyAlignment="1" pivotButton="0" quotePrefix="0" xfId="0">
      <alignment horizontal="general" vertical="bottom"/>
    </xf>
    <xf numFmtId="166" fontId="10" fillId="0" borderId="0" applyAlignment="1" pivotButton="0" quotePrefix="0" xfId="0">
      <alignment horizontal="general" vertical="bottom"/>
    </xf>
    <xf numFmtId="166" fontId="7" fillId="0" borderId="0" applyAlignment="1" pivotButton="0" quotePrefix="0" xfId="0">
      <alignment horizontal="general" vertical="bottom"/>
    </xf>
    <xf numFmtId="166" fontId="11" fillId="0" borderId="0" applyAlignment="1" pivotButton="0" quotePrefix="0" xfId="0">
      <alignment horizontal="general" vertical="bottom"/>
    </xf>
    <xf numFmtId="166" fontId="9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166" fontId="7" fillId="2" borderId="0" applyAlignment="1" pivotButton="0" quotePrefix="0" xfId="0">
      <alignment horizontal="general" vertical="bottom"/>
    </xf>
    <xf numFmtId="165" fontId="7" fillId="2" borderId="0" applyAlignment="1" pivotButton="0" quotePrefix="0" xfId="0">
      <alignment horizontal="general" vertical="bottom"/>
    </xf>
    <xf numFmtId="172" fontId="7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center" vertical="center"/>
    </xf>
    <xf numFmtId="170" fontId="7" fillId="0" borderId="0" applyAlignment="1" pivotButton="0" quotePrefix="0" xfId="0">
      <alignment horizontal="general" vertical="bottom"/>
    </xf>
    <xf numFmtId="1" fontId="9" fillId="0" borderId="0" applyAlignment="1" pivotButton="0" quotePrefix="0" xfId="0">
      <alignment horizontal="general" vertical="bottom"/>
    </xf>
    <xf numFmtId="170" fontId="9" fillId="0" borderId="0" applyAlignment="1" pivotButton="0" quotePrefix="0" xfId="0">
      <alignment horizontal="general" vertical="bottom"/>
    </xf>
    <xf numFmtId="172" fontId="9" fillId="0" borderId="0" applyAlignment="1" pivotButton="0" quotePrefix="0" xfId="0">
      <alignment horizontal="general" vertical="bottom"/>
    </xf>
    <xf numFmtId="2" fontId="9" fillId="0" borderId="0" applyAlignment="1" pivotButton="0" quotePrefix="0" xfId="0">
      <alignment horizontal="general" vertical="bottom"/>
    </xf>
    <xf numFmtId="166" fontId="9" fillId="2" borderId="0" applyAlignment="1" pivotButton="0" quotePrefix="0" xfId="0">
      <alignment horizontal="general" vertical="bottom"/>
    </xf>
    <xf numFmtId="165" fontId="11" fillId="0" borderId="0" applyAlignment="1" pivotButton="0" quotePrefix="0" xfId="0">
      <alignment horizontal="general" vertical="bottom"/>
    </xf>
    <xf numFmtId="164" fontId="10" fillId="5" borderId="0" applyAlignment="1" pivotButton="0" quotePrefix="0" xfId="0">
      <alignment horizontal="general" vertical="bottom"/>
    </xf>
    <xf numFmtId="1" fontId="11" fillId="0" borderId="0" applyAlignment="1" pivotButton="0" quotePrefix="0" xfId="0">
      <alignment horizontal="general" vertical="bottom"/>
    </xf>
    <xf numFmtId="0" fontId="18" fillId="0" borderId="1" applyAlignment="1" pivotButton="0" quotePrefix="0" xfId="0">
      <alignment horizontal="general" vertical="bottom"/>
    </xf>
    <xf numFmtId="0" fontId="17" fillId="0" borderId="1" pivotButton="0" quotePrefix="0" xfId="0"/>
    <xf numFmtId="0" fontId="17" fillId="0" borderId="1" applyAlignment="1" pivotButton="0" quotePrefix="0" xfId="0">
      <alignment horizontal="general" vertical="bottom"/>
    </xf>
    <xf numFmtId="166" fontId="17" fillId="0" borderId="1" applyAlignment="1" pivotButton="0" quotePrefix="0" xfId="0">
      <alignment horizontal="general" vertical="bottom"/>
    </xf>
    <xf numFmtId="164" fontId="17" fillId="0" borderId="1" applyAlignment="1" pivotButton="0" quotePrefix="0" xfId="0">
      <alignment horizontal="general" vertical="bottom"/>
    </xf>
    <xf numFmtId="173" fontId="17" fillId="0" borderId="1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Unknown Author</author>
  </authors>
  <commentList>
    <comment ref="E8" authorId="0" shapeId="0">
      <text>
        <t>USDA Sep used 325 before Sep-1 Grain Stocks (315). [S1]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D7" authorId="0" shapeId="0">
      <text>
        <t>n/a in FAS source - set to 0; the difference is captured in Rest of World.</t>
      </text>
    </comment>
    <comment ref="B9" authorId="0" shapeId="0">
      <text>
        <t>n/a in FAS source - set to 0; the difference is captured in Rest of World.</t>
      </text>
    </comment>
    <comment ref="D9" authorId="0" shapeId="0">
      <text>
        <t>n/a in FAS source - set to 0; the difference is captured in Rest of World.</t>
      </text>
    </comment>
    <comment ref="I9" authorId="0" shapeId="0">
      <text>
        <t>n/a in FAS source - set to 0; the difference is captured in Rest of World.</t>
      </text>
    </comment>
    <comment ref="H10" authorId="0" shapeId="0">
      <text>
        <t>n/a in FAS source - set to 0; the difference is captured in Rest of World.</t>
      </text>
    </comment>
    <comment ref="D18" authorId="0" shapeId="0">
      <text>
        <t>n/a in FAS source - set to 0; the difference is captured in Rest of World.</t>
      </text>
    </comment>
    <comment ref="D20" authorId="0" shapeId="0">
      <text>
        <t>n/a in FAS source - set to 0; the difference is captured in Rest of World.</t>
      </text>
    </comment>
    <comment ref="I20" authorId="0" shapeId="0">
      <text>
        <t>n/a in FAS source - set to 0; the difference is captured in Rest of World.</t>
      </text>
    </comment>
    <comment ref="H21" authorId="0" shapeId="0">
      <text>
        <t>n/a in FAS source - set to 0; the difference is captured in Rest of World.</t>
      </text>
    </comment>
  </commentList>
</comments>
</file>

<file path=xl/comments/comment3.xml><?xml version="1.0" encoding="utf-8"?>
<comments xmlns="http://schemas.openxmlformats.org/spreadsheetml/2006/main">
  <authors>
    <author>Unknown Author</author>
  </authors>
  <commentList>
    <comment ref="B5" authorId="0" shapeId="0">
      <text>
        <t>Sep-1 total stocks, ERS Oil Crops Yearbook Table 1 [S12]</t>
      </text>
    </comment>
    <comment ref="C5" authorId="0" shapeId="0">
      <text>
        <t>APPROX. total use (supply - ending stocks) - verify vs USDA PSD [S13]</t>
      </text>
    </comment>
    <comment ref="F5" authorId="0" shapeId="0">
      <text>
        <t>APPROX. USDA season-average farm price - verify vs NASS/PSD [S13]</t>
      </text>
    </comment>
    <comment ref="B6" authorId="0" shapeId="0">
      <text>
        <t>Sep-1 total stocks, ERS Oil Crops Yearbook Table 1 [S12]</t>
      </text>
    </comment>
    <comment ref="C6" authorId="0" shapeId="0">
      <text>
        <t>APPROX. total use (supply - ending stocks) - verify vs USDA PSD [S13]</t>
      </text>
    </comment>
    <comment ref="F6" authorId="0" shapeId="0">
      <text>
        <t>APPROX. USDA season-average farm price - verify vs NASS/PSD [S13]</t>
      </text>
    </comment>
    <comment ref="B7" authorId="0" shapeId="0">
      <text>
        <t>Sep-1 total stocks, ERS Oil Crops Yearbook Table 1 [S12]</t>
      </text>
    </comment>
    <comment ref="C7" authorId="0" shapeId="0">
      <text>
        <t>APPROX. total use (supply - ending stocks) - verify vs USDA PSD [S13]</t>
      </text>
    </comment>
    <comment ref="F7" authorId="0" shapeId="0">
      <text>
        <t>APPROX. USDA season-average farm price - verify vs NASS/PSD [S13]</t>
      </text>
    </comment>
    <comment ref="B8" authorId="0" shapeId="0">
      <text>
        <t>Sep-1 total stocks, ERS Oil Crops Yearbook Table 1 [S12]</t>
      </text>
    </comment>
    <comment ref="C8" authorId="0" shapeId="0">
      <text>
        <t>APPROX. total use (supply - ending stocks) - verify vs USDA PSD [S13]</t>
      </text>
    </comment>
    <comment ref="F8" authorId="0" shapeId="0">
      <text>
        <t>APPROX. USDA season-average farm price - verify vs NASS/PSD [S13]</t>
      </text>
    </comment>
    <comment ref="B9" authorId="0" shapeId="0">
      <text>
        <t>Sep-1 total stocks, ERS Oil Crops Yearbook Table 1 [S12]</t>
      </text>
    </comment>
    <comment ref="C9" authorId="0" shapeId="0">
      <text>
        <t>APPROX. total use (supply - ending stocks) - verify vs USDA PSD [S13]</t>
      </text>
    </comment>
    <comment ref="F9" authorId="0" shapeId="0">
      <text>
        <t>APPROX. USDA season-average farm price - verify vs NASS/PSD [S13]</t>
      </text>
    </comment>
    <comment ref="B10" authorId="0" shapeId="0">
      <text>
        <t>Sep-1 total stocks, ERS Oil Crops Yearbook Table 1 [S12]</t>
      </text>
    </comment>
    <comment ref="C10" authorId="0" shapeId="0">
      <text>
        <t>APPROX. total use (supply - ending stocks) - verify vs USDA PSD [S13]</t>
      </text>
    </comment>
    <comment ref="F10" authorId="0" shapeId="0">
      <text>
        <t>APPROX. USDA season-average farm price - verify vs NASS/PSD [S13]</t>
      </text>
    </comment>
    <comment ref="B11" authorId="0" shapeId="0">
      <text>
        <t>Sep-1 total stocks, ERS Oil Crops Yearbook Table 1 [S12]</t>
      </text>
    </comment>
    <comment ref="C11" authorId="0" shapeId="0">
      <text>
        <t>APPROX. total use (supply - ending stocks) - verify vs USDA PSD [S13]</t>
      </text>
    </comment>
    <comment ref="F11" authorId="0" shapeId="0">
      <text>
        <t>APPROX. USDA season-average farm price - verify vs NASS/PSD [S13]</t>
      </text>
    </comment>
    <comment ref="B12" authorId="0" shapeId="0">
      <text>
        <t>Sep-1 total stocks, ERS Oil Crops Yearbook Table 1 [S12]</t>
      </text>
    </comment>
    <comment ref="C12" authorId="0" shapeId="0">
      <text>
        <t>APPROX. total use (supply - ending stocks) - verify vs USDA PSD [S13]</t>
      </text>
    </comment>
    <comment ref="F12" authorId="0" shapeId="0">
      <text>
        <t>APPROX. USDA season-average farm price - verify vs NASS/PSD [S13]</t>
      </text>
    </comment>
    <comment ref="B13" authorId="0" shapeId="0">
      <text>
        <t>Sep-1 total stocks, ERS Oil Crops Yearbook Table 1 [S12]</t>
      </text>
    </comment>
    <comment ref="C13" authorId="0" shapeId="0">
      <text>
        <t>APPROX. total use (supply - ending stocks) - verify vs USDA PSD [S13]</t>
      </text>
    </comment>
    <comment ref="F13" authorId="0" shapeId="0">
      <text>
        <t>APPROX. USDA season-average farm price - verify vs NASS/PSD [S13]</t>
      </text>
    </comment>
    <comment ref="B14" authorId="0" shapeId="0">
      <text>
        <t>Sep-1 total stocks, ERS Oil Crops Yearbook Table 1 [S12]</t>
      </text>
    </comment>
    <comment ref="C14" authorId="0" shapeId="0">
      <text>
        <t>APPROX. total use (supply - ending stocks) - verify vs USDA PSD [S13]</t>
      </text>
    </comment>
    <comment ref="F14" authorId="0" shapeId="0">
      <text>
        <t>APPROX. USDA season-average farm price - verify vs NASS/PSD [S13]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4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8" customWidth="1" style="56" min="1" max="1"/>
    <col width="110" customWidth="1" style="56" min="2" max="2"/>
  </cols>
  <sheetData>
    <row r="1" ht="17.35" customHeight="1" s="57">
      <c r="A1" s="58" t="inlineStr">
        <is>
          <t>GLOBAL SOYBEAN SUPPLY &amp; DEMAND MODEL - 2026/27</t>
        </is>
      </c>
    </row>
    <row r="2" ht="15" customHeight="1" s="57">
      <c r="A2" s="59" t="inlineStr">
        <is>
          <t>Global soybean supply &amp; demand model | As of 13-Oct-2026 (post 9-Oct WASDE) | Units: US in million bushels, world in million metric tons</t>
        </is>
      </c>
    </row>
    <row r="4" ht="15" customHeight="1" s="57">
      <c r="A4" s="60" t="inlineStr">
        <is>
          <t>HEADLINE (live from model)</t>
        </is>
      </c>
    </row>
    <row r="5" ht="15" customHeight="1" s="57">
      <c r="A5" s="61" t="inlineStr">
        <is>
          <t>US ending stocks 2026/27 - USDA Oct (M bu)</t>
        </is>
      </c>
      <c r="B5" s="62">
        <f>US_BS!F17</f>
        <v/>
      </c>
    </row>
    <row r="6" ht="15" customHeight="1" s="57">
      <c r="A6" s="61" t="inlineStr">
        <is>
          <t>US ending stocks 2026/27 - HOUSE (M bu)</t>
        </is>
      </c>
      <c r="B6" s="62">
        <f>US_BS!G17</f>
        <v/>
      </c>
    </row>
    <row r="7" ht="15" customHeight="1" s="57">
      <c r="A7" s="61" t="inlineStr">
        <is>
          <t>US stocks/use - USDA vs HOUSE</t>
        </is>
      </c>
      <c r="B7" s="63">
        <f>US_BS!F18</f>
        <v/>
      </c>
    </row>
    <row r="8" ht="15" customHeight="1" s="57">
      <c r="A8" s="61" t="n"/>
      <c r="B8" s="63">
        <f>US_BS!G18</f>
        <v/>
      </c>
    </row>
    <row r="9" ht="15" customHeight="1" s="57">
      <c r="A9" s="61" t="inlineStr">
        <is>
          <t>World ending stocks - USDA vs HOUSE (MMT)</t>
        </is>
      </c>
      <c r="B9" s="64">
        <f>World_BS!I23</f>
        <v/>
      </c>
    </row>
    <row r="10" ht="15" customHeight="1" s="57">
      <c r="A10" s="61" t="n"/>
      <c r="B10" s="64">
        <f>World_BS!I34</f>
        <v/>
      </c>
    </row>
    <row r="11" ht="15" customHeight="1" s="57">
      <c r="A11" s="61" t="inlineStr">
        <is>
          <t>Implied SAFP change House vs USDA ($/bu)</t>
        </is>
      </c>
      <c r="B11" s="64">
        <f>Price_Model!C29</f>
        <v/>
      </c>
    </row>
    <row r="12" ht="15" customHeight="1" s="57">
      <c r="A12" s="61" t="inlineStr">
        <is>
          <t>Board crush margin ($/bu)</t>
        </is>
      </c>
      <c r="B12" s="64">
        <f>Crush!B12</f>
        <v/>
      </c>
    </row>
    <row r="13" ht="15" customHeight="1" s="57">
      <c r="A13" s="61" t="inlineStr">
        <is>
          <t>Nov/Jan carry as % of full carry</t>
        </is>
      </c>
      <c r="B13" s="63">
        <f>Spreads!I5</f>
        <v/>
      </c>
    </row>
    <row r="15" ht="15" customHeight="1" s="57">
      <c r="A15" s="60" t="inlineStr">
        <is>
          <t>HOUSE VIEW</t>
        </is>
      </c>
    </row>
    <row r="16" ht="15" customHeight="1" s="57">
      <c r="A16" s="61" t="inlineStr">
        <is>
          <t>Market prices US 2026/27 off USDA's 315 mb carryout; we see ~200-210 mb (S/U ~4.5%).</t>
        </is>
      </c>
    </row>
    <row r="17" ht="15" customHeight="1" s="57">
      <c r="A17" s="61" t="inlineStr">
        <is>
          <t>Drivers: (1) board crush margin &gt;$2/bu keeps plants at capacity -&gt; crush +40 mb; (2) China buying ahead of USDA pace -&gt; exports +50 mb;</t>
        </is>
      </c>
    </row>
    <row r="18" ht="15" customHeight="1" s="57">
      <c r="A18" s="61" t="inlineStr">
        <is>
          <t>(3) yield 52.9 bpa (trend 53.5 less condition adj.) vs USDA 53.1. Supply story is priced; demand is under-priced.</t>
        </is>
      </c>
    </row>
    <row r="19" ht="15" customHeight="1" s="57">
      <c r="A19" s="61" t="inlineStr">
        <is>
          <t>Market signal to watch: the Nov/Jan spread vs full carry (narrowing carry = nearby tightness) - see Spreads tab.</t>
        </is>
      </c>
    </row>
    <row r="20" ht="15" customHeight="1" s="57">
      <c r="A20" s="61" t="inlineStr">
        <is>
          <t>Risks: yield &gt;54 bpa (StoneX), China tariff persists / CASDE 95.5 MMT imports, meal glut compressing crush margins, record Brazil crop from Jan.</t>
        </is>
      </c>
    </row>
    <row r="22" ht="15" customHeight="1" s="57">
      <c r="A22" s="60" t="inlineStr">
        <is>
          <t>TABS</t>
        </is>
      </c>
    </row>
    <row r="23" ht="15" customHeight="1" s="57">
      <c r="A23" s="65" t="inlineStr">
        <is>
          <t>Inputs</t>
        </is>
      </c>
      <c r="B23" s="61" t="inlineStr">
        <is>
          <t>All house-view levers, market prices, conventions. Edit here only.</t>
        </is>
      </c>
    </row>
    <row r="24" ht="15" customHeight="1" s="57">
      <c r="A24" s="65" t="inlineStr">
        <is>
          <t>US_BS</t>
        </is>
      </c>
      <c r="B24" s="61" t="inlineStr">
        <is>
          <t>US balance sheet: 2024/25, 2025/26, 2026/27 USDA Sep/Oct, HOUSE, delta, reconciliation checks.</t>
        </is>
      </c>
    </row>
    <row r="25" ht="15" customHeight="1" s="57">
      <c r="A25" s="65" t="inlineStr">
        <is>
          <t>World_BS</t>
        </is>
      </c>
      <c r="B25" s="61" t="inlineStr">
        <is>
          <t>World &amp; country balances (US, Brazil, Argentina, Paraguay, China, RoW): USDA 25/26, 26/27 and HOUSE; key metrics; checks.</t>
        </is>
      </c>
    </row>
    <row r="26" ht="15" customHeight="1" s="57">
      <c r="A26" s="65" t="inlineStr">
        <is>
          <t>Price_Model</t>
        </is>
      </c>
      <c r="B26" s="61" t="inlineStr">
        <is>
          <t>SAFP vs ln(stocks/use) regression (SUMPRODUCT OLS with include flags) -&gt; implied price for House vs USDA.</t>
        </is>
      </c>
    </row>
    <row r="27" ht="15" customHeight="1" s="57">
      <c r="A27" s="65" t="inlineStr">
        <is>
          <t>Scenarios</t>
        </is>
      </c>
      <c r="B27" s="61" t="inlineStr">
        <is>
          <t>Yield x exports grids -&gt; US ending stocks, S/U, implied price.</t>
        </is>
      </c>
    </row>
    <row r="28" ht="15" customHeight="1" s="57">
      <c r="A28" s="65" t="inlineStr">
        <is>
          <t>Crush</t>
        </is>
      </c>
      <c r="B28" s="61" t="inlineStr">
        <is>
          <t>Board crush margin + oil/meal sensitivity.</t>
        </is>
      </c>
    </row>
    <row r="29" ht="15" customHeight="1" s="57">
      <c r="A29" s="65" t="inlineStr">
        <is>
          <t>Spreads</t>
        </is>
      </c>
      <c r="B29" s="61" t="inlineStr">
        <is>
          <t>Nov/Jan &amp; Jan/Mar spreads vs full carry: % of full carry as a read on nearby tightness.</t>
        </is>
      </c>
    </row>
    <row r="30" ht="15" customHeight="1" s="57">
      <c r="A30" s="65" t="inlineStr">
        <is>
          <t>Sources</t>
        </is>
      </c>
      <c r="B30" s="61" t="inlineStr">
        <is>
          <t>Every source with link and vintage; release calendar for updates.</t>
        </is>
      </c>
    </row>
    <row r="32" ht="15" customHeight="1" s="57">
      <c r="A32" s="60" t="inlineStr">
        <is>
          <t>COLOUR CODE</t>
        </is>
      </c>
    </row>
    <row r="33" ht="15" customHeight="1" s="57">
      <c r="A33" s="66" t="inlineStr">
        <is>
          <t>Blue text = hard-coded input (sourced)</t>
        </is>
      </c>
    </row>
    <row r="34" ht="15" customHeight="1" s="57">
      <c r="A34" s="67" t="inlineStr">
        <is>
          <t>Yellow fill = key house-view lever</t>
        </is>
      </c>
    </row>
    <row r="35" ht="15" customHeight="1" s="57">
      <c r="A35" s="61" t="inlineStr">
        <is>
          <t>Black = formula</t>
        </is>
      </c>
    </row>
    <row r="36" ht="15" customHeight="1" s="57">
      <c r="A36" s="68" t="inlineStr">
        <is>
          <t>Green = link to another sheet</t>
        </is>
      </c>
    </row>
    <row r="37" ht="15" customHeight="1" s="57">
      <c r="A37" s="69" t="inlineStr">
        <is>
          <t>Light-green fill = key output</t>
        </is>
      </c>
    </row>
    <row r="39" ht="15" customHeight="1" s="57">
      <c r="A39" s="60" t="inlineStr">
        <is>
          <t>CAVEATS</t>
        </is>
      </c>
    </row>
    <row r="40" ht="15" customHeight="1" s="57">
      <c r="A40" s="59" t="inlineStr">
        <is>
          <t>Historical total use &amp; SAFP (2014/15-2023/24) are approximations - verify vs USDA PSD before relying on the price regression [S13].</t>
        </is>
      </c>
    </row>
    <row r="41" ht="15" customHeight="1" s="57">
      <c r="A41" s="59" t="inlineStr">
        <is>
          <t>FAS country tables omit some items (Brazil/Paraguay imports, Paraguay stocks, China exports): set to 0 and absorbed in Rest of World.</t>
        </is>
      </c>
    </row>
    <row r="42" ht="15" customHeight="1" s="57">
      <c r="A42" s="59" t="inlineStr">
        <is>
          <t>Market prices on Inputs are as of 6-Oct-26 / estimates - refresh from CQG before using Crush or Spreads tabs.</t>
        </is>
      </c>
    </row>
    <row r="43" ht="15" customHeight="1" s="57">
      <c r="A43" s="59" t="inlineStr">
        <is>
          <t>Price regression R2 is low: stocks/use explains only part of price (China policy, biofuels, FX). Use deltas, not levels.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6" customWidth="1" style="56" min="1" max="1"/>
    <col width="12" customWidth="1" style="56" min="2" max="2"/>
    <col width="13" customWidth="1" style="56" min="3" max="4"/>
    <col width="100" customWidth="1" style="56" min="5" max="5"/>
  </cols>
  <sheetData>
    <row r="1" ht="17.35" customHeight="1" s="57">
      <c r="A1" s="58" t="inlineStr">
        <is>
          <t>INPUTS &amp; HOUSE-VIEW LEVERS</t>
        </is>
      </c>
    </row>
    <row r="2" ht="15" customHeight="1" s="57">
      <c r="A2" s="59" t="inlineStr">
        <is>
          <t>Edit yellow/blue cells only. Every model sheet reads from here. As of 13-Oct-2026 (post Oct-9 WASDE).</t>
        </is>
      </c>
    </row>
    <row r="4" ht="15" customHeight="1" s="57">
      <c r="A4" s="70" t="inlineStr">
        <is>
          <t>Parameter</t>
        </is>
      </c>
      <c r="B4" s="70" t="inlineStr">
        <is>
          <t>Value</t>
        </is>
      </c>
      <c r="C4" s="70" t="inlineStr">
        <is>
          <t>Unit</t>
        </is>
      </c>
      <c r="D4" s="70" t="inlineStr">
        <is>
          <t>USDA Oct-26</t>
        </is>
      </c>
      <c r="E4" s="70" t="inlineStr">
        <is>
          <t>Source / rationale</t>
        </is>
      </c>
    </row>
    <row r="5" ht="15" customHeight="1" s="57">
      <c r="A5" s="71" t="inlineStr">
        <is>
          <t>CONVERSIONS</t>
        </is>
      </c>
      <c r="B5" s="72" t="n"/>
      <c r="C5" s="72" t="n"/>
      <c r="D5" s="72" t="n"/>
      <c r="E5" s="72" t="n"/>
    </row>
    <row r="6" ht="15" customHeight="1" s="57">
      <c r="A6" s="61" t="inlineStr">
        <is>
          <t>Bushels per metric ton (soybeans)</t>
        </is>
      </c>
      <c r="B6" s="73" t="n">
        <v>36.7437</v>
      </c>
      <c r="C6" s="74" t="inlineStr">
        <is>
          <t>bu/MT</t>
        </is>
      </c>
      <c r="E6" s="59" t="inlineStr">
        <is>
          <t>Standard conversion (60 lb/bu). [S9]</t>
        </is>
      </c>
    </row>
    <row r="7" ht="15" customHeight="1" s="57">
      <c r="A7" s="71" t="inlineStr">
        <is>
          <t>US 2026/27 - HOUSE VIEW</t>
        </is>
      </c>
      <c r="B7" s="72" t="n"/>
      <c r="C7" s="72" t="n"/>
      <c r="D7" s="72" t="n"/>
      <c r="E7" s="72" t="n"/>
    </row>
    <row r="8" ht="15" customHeight="1" s="57">
      <c r="A8" s="61" t="inlineStr">
        <is>
          <t>Area harvested</t>
        </is>
      </c>
      <c r="B8" s="75" t="n">
        <v>85.90000000000001</v>
      </c>
      <c r="C8" s="74" t="inlineStr">
        <is>
          <t>M acres</t>
        </is>
      </c>
      <c r="D8" s="75" t="n">
        <v>85.90000000000001</v>
      </c>
      <c r="E8" s="59" t="inlineStr">
        <is>
          <t>Unchanged vs USDA. [S1]</t>
        </is>
      </c>
    </row>
    <row r="9" ht="15" customHeight="1" s="57">
      <c r="A9" s="61" t="inlineStr">
        <is>
          <t>Yield</t>
        </is>
      </c>
      <c r="B9" s="76" t="n">
        <v>52.9</v>
      </c>
      <c r="C9" s="74" t="inlineStr">
        <is>
          <t>bu/acre</t>
        </is>
      </c>
      <c r="D9" s="75" t="n">
        <v>53.1</v>
      </c>
      <c r="E9" s="59" t="inlineStr">
        <is>
          <t>House yield model (trend 53.5 - condition adj -0.6). See soy_yield_model.py. [S1][S6]</t>
        </is>
      </c>
    </row>
    <row r="10" ht="15" customHeight="1" s="57">
      <c r="A10" s="61" t="inlineStr">
        <is>
          <t>Imports</t>
        </is>
      </c>
      <c r="B10" s="77" t="n">
        <v>25</v>
      </c>
      <c r="C10" s="74" t="inlineStr">
        <is>
          <t>M bu</t>
        </is>
      </c>
      <c r="D10" s="77" t="n">
        <v>25</v>
      </c>
      <c r="E10" s="59" t="inlineStr">
        <is>
          <t>USDA. [S1]</t>
        </is>
      </c>
    </row>
    <row r="11" ht="15" customHeight="1" s="57">
      <c r="A11" s="61" t="inlineStr">
        <is>
          <t>Crush</t>
        </is>
      </c>
      <c r="B11" s="78" t="n">
        <v>2820</v>
      </c>
      <c r="C11" s="74" t="inlineStr">
        <is>
          <t>M bu</t>
        </is>
      </c>
      <c r="D11" s="77" t="n">
        <v>2780</v>
      </c>
      <c r="E11" s="59" t="inlineStr">
        <is>
          <t>Board crush margin ~$2.45/bu (see Crush tab) -&gt; plants at capacity; +40 mb vs USDA. [S1][S5]</t>
        </is>
      </c>
    </row>
    <row r="12" ht="15" customHeight="1" s="57">
      <c r="A12" s="61" t="inlineStr">
        <is>
          <t>Exports</t>
        </is>
      </c>
      <c r="B12" s="78" t="n">
        <v>1745</v>
      </c>
      <c r="C12" s="74" t="inlineStr">
        <is>
          <t>M bu</t>
        </is>
      </c>
      <c r="D12" s="77" t="n">
        <v>1695</v>
      </c>
      <c r="E12" s="59" t="inlineStr">
        <is>
          <t>China buying ahead of USDA pace: commitments +89% y/y, 10.8 MMT unshipped to China. +50 mb vs USDA. [S1][S7]</t>
        </is>
      </c>
    </row>
    <row r="13" ht="15" customHeight="1" s="57">
      <c r="A13" s="61" t="inlineStr">
        <is>
          <t>Seed</t>
        </is>
      </c>
      <c r="B13" s="77" t="n">
        <v>73</v>
      </c>
      <c r="C13" s="74" t="inlineStr">
        <is>
          <t>M bu</t>
        </is>
      </c>
      <c r="D13" s="77" t="n">
        <v>73</v>
      </c>
      <c r="E13" s="59" t="inlineStr">
        <is>
          <t>USDA. [S1]</t>
        </is>
      </c>
    </row>
    <row r="14" ht="15" customHeight="1" s="57">
      <c r="A14" s="61" t="inlineStr">
        <is>
          <t>Residual</t>
        </is>
      </c>
      <c r="B14" s="77" t="n">
        <v>39</v>
      </c>
      <c r="C14" s="74" t="inlineStr">
        <is>
          <t>M bu</t>
        </is>
      </c>
      <c r="D14" s="77" t="n">
        <v>39</v>
      </c>
      <c r="E14" s="59" t="inlineStr">
        <is>
          <t>USDA. [S1]</t>
        </is>
      </c>
    </row>
    <row r="15" ht="15" customHeight="1" s="57">
      <c r="A15" s="71" t="inlineStr">
        <is>
          <t>SOUTH AMERICA / CHINA - HOUSE VIEW</t>
        </is>
      </c>
      <c r="B15" s="72" t="n"/>
      <c r="C15" s="72" t="n"/>
      <c r="D15" s="72" t="n"/>
      <c r="E15" s="72" t="n"/>
    </row>
    <row r="16" ht="15" customHeight="1" s="57">
      <c r="A16" s="61" t="inlineStr">
        <is>
          <t>Brazil production 2026/27</t>
        </is>
      </c>
      <c r="B16" s="76" t="n">
        <v>186</v>
      </c>
      <c r="C16" s="74" t="inlineStr">
        <is>
          <t>MMT</t>
        </is>
      </c>
      <c r="D16" s="75" t="n">
        <v>186</v>
      </c>
      <c r="E16" s="59" t="inlineStr">
        <is>
          <t>Held at USDA; CONAB first est. 181.6 - downside risk to USDA. [S2][S8]</t>
        </is>
      </c>
    </row>
    <row r="17" ht="15" customHeight="1" s="57">
      <c r="A17" s="61" t="inlineStr">
        <is>
          <t>Brazil: share of prod. change exported</t>
        </is>
      </c>
      <c r="B17" s="79" t="n">
        <v>0.8</v>
      </c>
      <c r="C17" s="74" t="inlineStr">
        <is>
          <t>ratio</t>
        </is>
      </c>
      <c r="E17" s="59" t="inlineStr">
        <is>
          <t>Assumption: ~80% of marginal Brazil crop goes to export (crush capacity-bound).</t>
        </is>
      </c>
    </row>
    <row r="18" ht="15" customHeight="1" s="57">
      <c r="A18" s="61" t="inlineStr">
        <is>
          <t>Brazil exports displaced per t extra US exports</t>
        </is>
      </c>
      <c r="B18" s="79" t="n">
        <v>0.5</v>
      </c>
      <c r="C18" s="74" t="inlineStr">
        <is>
          <t>ratio</t>
        </is>
      </c>
      <c r="E18" s="59" t="inlineStr">
        <is>
          <t>Assumption: half of extra US sales to China displace Brazilian origin.</t>
        </is>
      </c>
    </row>
    <row r="19" ht="15" customHeight="1" s="57">
      <c r="A19" s="61" t="inlineStr">
        <is>
          <t>Argentina production 2026/27</t>
        </is>
      </c>
      <c r="B19" s="75" t="n">
        <v>50</v>
      </c>
      <c r="C19" s="74" t="inlineStr">
        <is>
          <t>MMT</t>
        </is>
      </c>
      <c r="D19" s="75" t="n">
        <v>50</v>
      </c>
      <c r="E19" s="59" t="inlineStr">
        <is>
          <t>Held at USDA. [S2]</t>
        </is>
      </c>
    </row>
    <row r="20" ht="15" customHeight="1" s="57">
      <c r="A20" s="61" t="inlineStr">
        <is>
          <t>China imports 2026/27</t>
        </is>
      </c>
      <c r="B20" s="76" t="n">
        <v>115</v>
      </c>
      <c r="C20" s="74" t="inlineStr">
        <is>
          <t>MMT</t>
        </is>
      </c>
      <c r="D20" s="75" t="n">
        <v>115</v>
      </c>
      <c r="E20" s="59" t="inlineStr">
        <is>
          <t>Held at USDA; CASDE (May) 95.5 MMT - key disagreement. [S2][S10]</t>
        </is>
      </c>
    </row>
    <row r="21" ht="15" customHeight="1" s="57">
      <c r="A21" s="61" t="inlineStr">
        <is>
          <t>China: crush pass-through of import change</t>
        </is>
      </c>
      <c r="B21" s="79" t="n">
        <v>1</v>
      </c>
      <c r="C21" s="74" t="inlineStr">
        <is>
          <t>ratio</t>
        </is>
      </c>
      <c r="E21" s="59" t="inlineStr">
        <is>
          <t>Assumption: incremental imports crushed 1:1.</t>
        </is>
      </c>
    </row>
    <row r="22" ht="15" customHeight="1" s="57">
      <c r="A22" s="71" t="inlineStr">
        <is>
          <t>MARKET (update from CQG)</t>
        </is>
      </c>
      <c r="B22" s="72" t="n"/>
      <c r="C22" s="72" t="n"/>
      <c r="D22" s="72" t="n"/>
      <c r="E22" s="72" t="n"/>
    </row>
    <row r="23" ht="15" customHeight="1" s="57">
      <c r="A23" s="61" t="inlineStr">
        <is>
          <t>Soybeans Nov-26 (ZSX26)</t>
        </is>
      </c>
      <c r="B23" s="80" t="n">
        <v>1303</v>
      </c>
      <c r="C23" s="74" t="inlineStr">
        <is>
          <t>c/bu</t>
        </is>
      </c>
      <c r="E23" s="59" t="inlineStr">
        <is>
          <t>6-Oct-26 settle (Brownfield). UPDATE. [S4]</t>
        </is>
      </c>
    </row>
    <row r="24" ht="15" customHeight="1" s="57">
      <c r="A24" s="61" t="inlineStr">
        <is>
          <t>Soybeans Jan-27 (ZSF27)</t>
        </is>
      </c>
      <c r="B24" s="80" t="n">
        <v>1320</v>
      </c>
      <c r="C24" s="74" t="inlineStr">
        <is>
          <t>c/bu</t>
        </is>
      </c>
      <c r="E24" s="59" t="inlineStr">
        <is>
          <t>Estimate (Nov + ~17c). UPDATE from CQG.</t>
        </is>
      </c>
    </row>
    <row r="25" ht="15" customHeight="1" s="57">
      <c r="A25" s="61" t="inlineStr">
        <is>
          <t>Soybeans Mar-27 (ZSH27)</t>
        </is>
      </c>
      <c r="B25" s="80" t="n">
        <v>1330</v>
      </c>
      <c r="C25" s="74" t="inlineStr">
        <is>
          <t>c/bu</t>
        </is>
      </c>
      <c r="E25" s="59" t="inlineStr">
        <is>
          <t>Estimate (Nov + ~27c on 5-Oct). UPDATE from CQG.</t>
        </is>
      </c>
    </row>
    <row r="26" ht="15" customHeight="1" s="57">
      <c r="A26" s="61" t="inlineStr">
        <is>
          <t>Soybean meal Dec-26 (ZMZ26)</t>
        </is>
      </c>
      <c r="B26" s="81" t="n">
        <v>354.8</v>
      </c>
      <c r="C26" s="74" t="inlineStr">
        <is>
          <t>$/short ton</t>
        </is>
      </c>
      <c r="E26" s="59" t="inlineStr">
        <is>
          <t>6-Oct-26 settle. [S4]</t>
        </is>
      </c>
    </row>
    <row r="27" ht="15" customHeight="1" s="57">
      <c r="A27" s="61" t="inlineStr">
        <is>
          <t>Soybean oil Dec-26 (ZLZ26)</t>
        </is>
      </c>
      <c r="B27" s="79" t="n">
        <v>69.91</v>
      </c>
      <c r="C27" s="74" t="inlineStr">
        <is>
          <t>c/lb</t>
        </is>
      </c>
      <c r="E27" s="59" t="inlineStr">
        <is>
          <t>6-Oct-26 settle. [S4]</t>
        </is>
      </c>
    </row>
    <row r="28" ht="15" customHeight="1" s="57">
      <c r="A28" s="61" t="inlineStr">
        <is>
          <t>CBOT soybean storage rate</t>
        </is>
      </c>
      <c r="B28" s="82" t="n">
        <v>0.165</v>
      </c>
      <c r="C28" s="74" t="inlineStr">
        <is>
          <t>c/bu/day</t>
        </is>
      </c>
      <c r="E28" s="59" t="inlineStr">
        <is>
          <t>VERIFY vs current CBOT shipping-certificate storage rate.</t>
        </is>
      </c>
    </row>
    <row r="29" ht="15" customHeight="1" s="57">
      <c r="A29" s="61" t="inlineStr">
        <is>
          <t>Financing rate</t>
        </is>
      </c>
      <c r="B29" s="83" t="n">
        <v>0.05</v>
      </c>
      <c r="C29" s="74" t="inlineStr">
        <is>
          <t>% p.a.</t>
        </is>
      </c>
      <c r="E29" s="59" t="inlineStr">
        <is>
          <t>Assumption: SOFR ~3.9% + ~110bp funding spread. [S11]</t>
        </is>
      </c>
    </row>
    <row r="30" ht="15" customHeight="1" s="57">
      <c r="A30" s="61" t="inlineStr">
        <is>
          <t>Days Nov-26 -&gt; Jan-27</t>
        </is>
      </c>
      <c r="B30" s="84" t="n">
        <v>61</v>
      </c>
      <c r="C30" s="74" t="inlineStr">
        <is>
          <t>days</t>
        </is>
      </c>
      <c r="E30" s="59" t="inlineStr">
        <is>
          <t>Mid-month to mid-month.</t>
        </is>
      </c>
    </row>
    <row r="31" ht="15" customHeight="1" s="57">
      <c r="A31" s="61" t="inlineStr">
        <is>
          <t>Days Jan-27 -&gt; Mar-27</t>
        </is>
      </c>
      <c r="B31" s="84" t="n">
        <v>59</v>
      </c>
      <c r="C31" s="74" t="inlineStr">
        <is>
          <t>days</t>
        </is>
      </c>
      <c r="E31" s="59" t="inlineStr">
        <is>
          <t>Mid-month to mid-month.</t>
        </is>
      </c>
    </row>
    <row r="32" ht="15" customHeight="1" s="57">
      <c r="A32" s="71" t="inlineStr">
        <is>
          <t>CRUSH CONVENTIONS</t>
        </is>
      </c>
      <c r="B32" s="72" t="n"/>
      <c r="C32" s="72" t="n"/>
      <c r="D32" s="72" t="n"/>
      <c r="E32" s="72" t="n"/>
    </row>
    <row r="33" ht="15" customHeight="1" s="57">
      <c r="A33" s="61" t="inlineStr">
        <is>
          <t>Meal yield</t>
        </is>
      </c>
      <c r="B33" s="84" t="n">
        <v>44</v>
      </c>
      <c r="C33" s="74" t="inlineStr">
        <is>
          <t>lb/bu</t>
        </is>
      </c>
      <c r="E33" s="59" t="inlineStr">
        <is>
          <t>Board crush convention (48% protein meal).</t>
        </is>
      </c>
    </row>
    <row r="34" ht="15" customHeight="1" s="57">
      <c r="A34" s="61" t="inlineStr">
        <is>
          <t>Oil yield</t>
        </is>
      </c>
      <c r="B34" s="84" t="n">
        <v>11</v>
      </c>
      <c r="C34" s="74" t="inlineStr">
        <is>
          <t>lb/bu</t>
        </is>
      </c>
      <c r="E34" s="59" t="inlineStr">
        <is>
          <t>Board crush convention.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I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38" customWidth="1" style="56" min="1" max="1"/>
    <col width="9" customWidth="1" style="56" min="2" max="2"/>
    <col width="12" customWidth="1" style="56" min="3" max="4"/>
    <col width="14" customWidth="1" style="56" min="5" max="7"/>
    <col width="13" customWidth="1" style="56" min="8" max="8"/>
    <col width="52" customWidth="1" style="56" min="9" max="9"/>
  </cols>
  <sheetData>
    <row r="1" ht="17.35" customHeight="1" s="57">
      <c r="A1" s="58" t="inlineStr">
        <is>
          <t>US SOYBEAN BALANCE SHEET (million bushels unless stated)</t>
        </is>
      </c>
    </row>
    <row r="2" ht="15" customHeight="1" s="57">
      <c r="A2" s="59" t="inlineStr">
        <is>
          <t>Marketing year Sep-Aug. History &amp; USDA columns = USDA WASDE (blue). House column = Inputs levers (green links). Totals = formulas.</t>
        </is>
      </c>
    </row>
    <row r="4" ht="23.85" customHeight="1" s="57">
      <c r="A4" s="70" t="inlineStr">
        <is>
          <t>Item</t>
        </is>
      </c>
      <c r="B4" s="70" t="inlineStr">
        <is>
          <t>Unit</t>
        </is>
      </c>
      <c r="C4" s="70" t="inlineStr">
        <is>
          <t>2024/25</t>
        </is>
      </c>
      <c r="D4" s="70" t="inlineStr">
        <is>
          <t>2025/26 Est</t>
        </is>
      </c>
      <c r="E4" s="70" t="inlineStr">
        <is>
          <t>2026/27 USDA Sep</t>
        </is>
      </c>
      <c r="F4" s="70" t="inlineStr">
        <is>
          <t>2026/27 USDA Oct</t>
        </is>
      </c>
      <c r="G4" s="70" t="inlineStr">
        <is>
          <t>2026/27 HOUSE</t>
        </is>
      </c>
      <c r="H4" s="70" t="inlineStr">
        <is>
          <t>House - USDA Oct</t>
        </is>
      </c>
      <c r="I4" s="70" t="inlineStr">
        <is>
          <t>Source</t>
        </is>
      </c>
    </row>
    <row r="5" ht="15" customHeight="1" s="57">
      <c r="A5" s="61" t="inlineStr">
        <is>
          <t>Area planted</t>
        </is>
      </c>
      <c r="B5" s="74" t="inlineStr">
        <is>
          <t>M acres</t>
        </is>
      </c>
      <c r="C5" s="75" t="n">
        <v>87.3</v>
      </c>
      <c r="D5" s="75" t="n">
        <v>81.2</v>
      </c>
      <c r="E5" s="75" t="n">
        <v>86.90000000000001</v>
      </c>
      <c r="F5" s="75" t="n">
        <v>86.90000000000001</v>
      </c>
      <c r="G5" s="85">
        <f>F5</f>
        <v/>
      </c>
      <c r="H5" s="85">
        <f>G5-F5</f>
        <v/>
      </c>
      <c r="I5" s="59" t="inlineStr">
        <is>
          <t>[S1] WASDE Oct-26</t>
        </is>
      </c>
    </row>
    <row r="6" ht="15" customHeight="1" s="57">
      <c r="A6" s="61" t="inlineStr">
        <is>
          <t>Area harvested</t>
        </is>
      </c>
      <c r="B6" s="74" t="inlineStr">
        <is>
          <t>M acres</t>
        </is>
      </c>
      <c r="C6" s="75" t="n">
        <v>86.2</v>
      </c>
      <c r="D6" s="75" t="n">
        <v>80.40000000000001</v>
      </c>
      <c r="E6" s="75" t="n">
        <v>85.90000000000001</v>
      </c>
      <c r="F6" s="75" t="n">
        <v>85.90000000000001</v>
      </c>
      <c r="G6" s="86">
        <f>Inputs!$B$8</f>
        <v/>
      </c>
      <c r="H6" s="85">
        <f>G6-F6</f>
        <v/>
      </c>
    </row>
    <row r="7" ht="15" customHeight="1" s="57">
      <c r="A7" s="61" t="inlineStr">
        <is>
          <t>Yield</t>
        </is>
      </c>
      <c r="B7" s="74" t="inlineStr">
        <is>
          <t>bu/acre</t>
        </is>
      </c>
      <c r="C7" s="75" t="n">
        <v>50.7</v>
      </c>
      <c r="D7" s="75" t="n">
        <v>53</v>
      </c>
      <c r="E7" s="75" t="n">
        <v>52.8</v>
      </c>
      <c r="F7" s="75" t="n">
        <v>53.1</v>
      </c>
      <c r="G7" s="86">
        <f>Inputs!$B$9</f>
        <v/>
      </c>
      <c r="H7" s="85">
        <f>G7-F7</f>
        <v/>
      </c>
      <c r="I7" s="59" t="inlineStr">
        <is>
          <t>House = Inputs (yield model)</t>
        </is>
      </c>
    </row>
    <row r="8" ht="15" customHeight="1" s="57">
      <c r="A8" s="61" t="inlineStr">
        <is>
          <t>Beginning stocks</t>
        </is>
      </c>
      <c r="B8" s="74" t="inlineStr">
        <is>
          <t>M bu</t>
        </is>
      </c>
      <c r="C8" s="77" t="n">
        <v>342</v>
      </c>
      <c r="D8" s="87">
        <f>C17</f>
        <v/>
      </c>
      <c r="E8" s="77" t="n">
        <v>325</v>
      </c>
      <c r="F8" s="87">
        <f>D17</f>
        <v/>
      </c>
      <c r="G8" s="87">
        <f>F8</f>
        <v/>
      </c>
      <c r="H8" s="87">
        <f>G8-F8</f>
        <v/>
      </c>
      <c r="I8" s="59" t="inlineStr">
        <is>
          <t>[S1]; Sep-1 stocks 315 [S3]</t>
        </is>
      </c>
    </row>
    <row r="9" ht="15" customHeight="1" s="57">
      <c r="A9" s="61" t="inlineStr">
        <is>
          <t>Production</t>
        </is>
      </c>
      <c r="B9" s="74" t="inlineStr">
        <is>
          <t>M bu</t>
        </is>
      </c>
      <c r="C9" s="77" t="n">
        <v>4374</v>
      </c>
      <c r="D9" s="77" t="n">
        <v>4261</v>
      </c>
      <c r="E9" s="87">
        <f>E6*E7</f>
        <v/>
      </c>
      <c r="F9" s="87">
        <f>F6*F7</f>
        <v/>
      </c>
      <c r="G9" s="87">
        <f>G6*G7</f>
        <v/>
      </c>
      <c r="H9" s="87">
        <f>G9-F9</f>
        <v/>
      </c>
    </row>
    <row r="10" ht="15" customHeight="1" s="57">
      <c r="A10" s="61" t="inlineStr">
        <is>
          <t>Imports</t>
        </is>
      </c>
      <c r="B10" s="74" t="inlineStr">
        <is>
          <t>M bu</t>
        </is>
      </c>
      <c r="C10" s="77" t="n">
        <v>30</v>
      </c>
      <c r="D10" s="77" t="n">
        <v>22</v>
      </c>
      <c r="E10" s="77" t="n">
        <v>25</v>
      </c>
      <c r="F10" s="77" t="n">
        <v>25</v>
      </c>
      <c r="G10" s="88">
        <f>Inputs!$B$10</f>
        <v/>
      </c>
      <c r="H10" s="87">
        <f>G10-F10</f>
        <v/>
      </c>
    </row>
    <row r="11" ht="15" customHeight="1" s="57">
      <c r="A11" s="65" t="inlineStr">
        <is>
          <t>TOTAL SUPPLY</t>
        </is>
      </c>
      <c r="B11" s="74" t="inlineStr">
        <is>
          <t>M bu</t>
        </is>
      </c>
      <c r="C11" s="89">
        <f>SUM(C8:C10)</f>
        <v/>
      </c>
      <c r="D11" s="89">
        <f>SUM(D8:D10)</f>
        <v/>
      </c>
      <c r="E11" s="89">
        <f>SUM(E8:E10)</f>
        <v/>
      </c>
      <c r="F11" s="89">
        <f>SUM(F8:F10)</f>
        <v/>
      </c>
      <c r="G11" s="89">
        <f>SUM(G8:G10)</f>
        <v/>
      </c>
      <c r="H11" s="87">
        <f>G11-F11</f>
        <v/>
      </c>
    </row>
    <row r="12" ht="15" customHeight="1" s="57">
      <c r="A12" s="61" t="inlineStr">
        <is>
          <t>Crush</t>
        </is>
      </c>
      <c r="B12" s="74" t="inlineStr">
        <is>
          <t>M bu</t>
        </is>
      </c>
      <c r="C12" s="77" t="n">
        <v>2445</v>
      </c>
      <c r="D12" s="77" t="n">
        <v>2646</v>
      </c>
      <c r="E12" s="77" t="n">
        <v>2780</v>
      </c>
      <c r="F12" s="77" t="n">
        <v>2780</v>
      </c>
      <c r="G12" s="88">
        <f>Inputs!$B$11</f>
        <v/>
      </c>
      <c r="H12" s="87">
        <f>G12-F12</f>
        <v/>
      </c>
      <c r="I12" s="59" t="inlineStr">
        <is>
          <t>[S1]; House: margin-driven (Crush tab)</t>
        </is>
      </c>
    </row>
    <row r="13" ht="15" customHeight="1" s="57">
      <c r="A13" s="61" t="inlineStr">
        <is>
          <t>Exports</t>
        </is>
      </c>
      <c r="B13" s="74" t="inlineStr">
        <is>
          <t>M bu</t>
        </is>
      </c>
      <c r="C13" s="77" t="n">
        <v>1892</v>
      </c>
      <c r="D13" s="77" t="n">
        <v>1515</v>
      </c>
      <c r="E13" s="77" t="n">
        <v>1685</v>
      </c>
      <c r="F13" s="77" t="n">
        <v>1695</v>
      </c>
      <c r="G13" s="88">
        <f>Inputs!$B$12</f>
        <v/>
      </c>
      <c r="H13" s="87">
        <f>G13-F13</f>
        <v/>
      </c>
      <c r="I13" s="59" t="inlineStr">
        <is>
          <t>[S1]; House: China pace (Export Sales [S7])</t>
        </is>
      </c>
    </row>
    <row r="14" ht="15" customHeight="1" s="57">
      <c r="A14" s="61" t="inlineStr">
        <is>
          <t>Seed</t>
        </is>
      </c>
      <c r="B14" s="74" t="inlineStr">
        <is>
          <t>M bu</t>
        </is>
      </c>
      <c r="C14" s="77" t="n">
        <v>70</v>
      </c>
      <c r="D14" s="77" t="n">
        <v>75</v>
      </c>
      <c r="E14" s="77" t="n">
        <v>73</v>
      </c>
      <c r="F14" s="77" t="n">
        <v>73</v>
      </c>
      <c r="G14" s="88">
        <f>Inputs!$B$13</f>
        <v/>
      </c>
      <c r="H14" s="87">
        <f>G14-F14</f>
        <v/>
      </c>
    </row>
    <row r="15" ht="15" customHeight="1" s="57">
      <c r="A15" s="61" t="inlineStr">
        <is>
          <t>Residual</t>
        </is>
      </c>
      <c r="B15" s="74" t="inlineStr">
        <is>
          <t>M bu</t>
        </is>
      </c>
      <c r="C15" s="77" t="n">
        <v>14</v>
      </c>
      <c r="D15" s="77" t="n">
        <v>57</v>
      </c>
      <c r="E15" s="77" t="n">
        <v>38</v>
      </c>
      <c r="F15" s="77" t="n">
        <v>39</v>
      </c>
      <c r="G15" s="88">
        <f>Inputs!$B$14</f>
        <v/>
      </c>
      <c r="H15" s="87">
        <f>G15-F15</f>
        <v/>
      </c>
    </row>
    <row r="16" ht="15" customHeight="1" s="57">
      <c r="A16" s="65" t="inlineStr">
        <is>
          <t>TOTAL USE</t>
        </is>
      </c>
      <c r="B16" s="74" t="inlineStr">
        <is>
          <t>M bu</t>
        </is>
      </c>
      <c r="C16" s="89">
        <f>SUM(C12:C15)</f>
        <v/>
      </c>
      <c r="D16" s="89">
        <f>SUM(D12:D15)</f>
        <v/>
      </c>
      <c r="E16" s="89">
        <f>SUM(E12:E15)</f>
        <v/>
      </c>
      <c r="F16" s="89">
        <f>SUM(F12:F15)</f>
        <v/>
      </c>
      <c r="G16" s="89">
        <f>SUM(G12:G15)</f>
        <v/>
      </c>
      <c r="H16" s="87">
        <f>G16-F16</f>
        <v/>
      </c>
    </row>
    <row r="17" ht="15" customHeight="1" s="57">
      <c r="A17" s="65" t="inlineStr">
        <is>
          <t>ENDING STOCKS</t>
        </is>
      </c>
      <c r="B17" s="74" t="inlineStr">
        <is>
          <t>M bu</t>
        </is>
      </c>
      <c r="C17" s="90">
        <f>C11-C16</f>
        <v/>
      </c>
      <c r="D17" s="90">
        <f>D11-D16</f>
        <v/>
      </c>
      <c r="E17" s="90">
        <f>E11-E16</f>
        <v/>
      </c>
      <c r="F17" s="90">
        <f>F11-F16</f>
        <v/>
      </c>
      <c r="G17" s="90">
        <f>G11-G16</f>
        <v/>
      </c>
      <c r="H17" s="87">
        <f>G17-F17</f>
        <v/>
      </c>
    </row>
    <row r="18" ht="15" customHeight="1" s="57">
      <c r="A18" s="61" t="inlineStr">
        <is>
          <t>Stocks / use</t>
        </is>
      </c>
      <c r="B18" s="74" t="inlineStr">
        <is>
          <t>%</t>
        </is>
      </c>
      <c r="C18" s="91">
        <f>IF(C16=0,0,C17/C16)</f>
        <v/>
      </c>
      <c r="D18" s="91">
        <f>IF(D16=0,0,D17/D16)</f>
        <v/>
      </c>
      <c r="E18" s="91">
        <f>IF(E16=0,0,E17/E16)</f>
        <v/>
      </c>
      <c r="F18" s="91">
        <f>IF(F16=0,0,F17/F16)</f>
        <v/>
      </c>
      <c r="G18" s="91">
        <f>IF(G16=0,0,G17/G16)</f>
        <v/>
      </c>
      <c r="H18" s="92">
        <f>G18-F18</f>
        <v/>
      </c>
    </row>
    <row r="19" ht="15" customHeight="1" s="57">
      <c r="A19" s="61" t="inlineStr">
        <is>
          <t>Avg farm price (USDA)</t>
        </is>
      </c>
      <c r="B19" s="74" t="inlineStr">
        <is>
          <t>$/bu</t>
        </is>
      </c>
      <c r="C19" s="93" t="n">
        <v>10</v>
      </c>
      <c r="D19" s="93" t="n">
        <v>10.5</v>
      </c>
      <c r="E19" s="93" t="n">
        <v>12</v>
      </c>
      <c r="F19" s="93" t="n">
        <v>12</v>
      </c>
      <c r="G19" s="94">
        <f>Price_Model!$C$27</f>
        <v/>
      </c>
      <c r="I19" s="59" t="inlineStr">
        <is>
          <t>House col = price implied by Price_Model (S/U regression)</t>
        </is>
      </c>
    </row>
    <row r="20" ht="15" customHeight="1" s="57">
      <c r="A20" s="61" t="inlineStr">
        <is>
          <t>Memo (MMT): Production</t>
        </is>
      </c>
      <c r="B20" s="74" t="inlineStr">
        <is>
          <t>MMT</t>
        </is>
      </c>
      <c r="C20" s="94">
        <f>C9/Inputs!$B$6</f>
        <v/>
      </c>
      <c r="D20" s="94">
        <f>D9/Inputs!$B$6</f>
        <v/>
      </c>
      <c r="E20" s="94">
        <f>E9/Inputs!$B$6</f>
        <v/>
      </c>
      <c r="F20" s="94">
        <f>F9/Inputs!$B$6</f>
        <v/>
      </c>
      <c r="G20" s="94">
        <f>G9/Inputs!$B$6</f>
        <v/>
      </c>
      <c r="H20" s="94">
        <f>G20-F20</f>
        <v/>
      </c>
    </row>
    <row r="21" ht="15" customHeight="1" s="57">
      <c r="A21" s="61" t="inlineStr">
        <is>
          <t>Memo (MMT): Crush</t>
        </is>
      </c>
      <c r="B21" s="74" t="inlineStr">
        <is>
          <t>MMT</t>
        </is>
      </c>
      <c r="C21" s="94">
        <f>C12/Inputs!$B$6</f>
        <v/>
      </c>
      <c r="D21" s="94">
        <f>D12/Inputs!$B$6</f>
        <v/>
      </c>
      <c r="E21" s="94">
        <f>E12/Inputs!$B$6</f>
        <v/>
      </c>
      <c r="F21" s="94">
        <f>F12/Inputs!$B$6</f>
        <v/>
      </c>
      <c r="G21" s="94">
        <f>G12/Inputs!$B$6</f>
        <v/>
      </c>
      <c r="H21" s="94">
        <f>G21-F21</f>
        <v/>
      </c>
    </row>
    <row r="22" ht="15" customHeight="1" s="57">
      <c r="A22" s="61" t="inlineStr">
        <is>
          <t>Memo (MMT): Exports</t>
        </is>
      </c>
      <c r="B22" s="74" t="inlineStr">
        <is>
          <t>MMT</t>
        </is>
      </c>
      <c r="C22" s="94">
        <f>C13/Inputs!$B$6</f>
        <v/>
      </c>
      <c r="D22" s="94">
        <f>D13/Inputs!$B$6</f>
        <v/>
      </c>
      <c r="E22" s="94">
        <f>E13/Inputs!$B$6</f>
        <v/>
      </c>
      <c r="F22" s="94">
        <f>F13/Inputs!$B$6</f>
        <v/>
      </c>
      <c r="G22" s="94">
        <f>G13/Inputs!$B$6</f>
        <v/>
      </c>
      <c r="H22" s="94">
        <f>G22-F22</f>
        <v/>
      </c>
    </row>
    <row r="23" ht="15" customHeight="1" s="57">
      <c r="A23" s="61" t="inlineStr">
        <is>
          <t>Memo (MMT): Ending stocks</t>
        </is>
      </c>
      <c r="B23" s="74" t="inlineStr">
        <is>
          <t>MMT</t>
        </is>
      </c>
      <c r="C23" s="94">
        <f>C17/Inputs!$B$6</f>
        <v/>
      </c>
      <c r="D23" s="94">
        <f>D17/Inputs!$B$6</f>
        <v/>
      </c>
      <c r="E23" s="94">
        <f>E17/Inputs!$B$6</f>
        <v/>
      </c>
      <c r="F23" s="94">
        <f>F17/Inputs!$B$6</f>
        <v/>
      </c>
      <c r="G23" s="94">
        <f>G17/Inputs!$B$6</f>
        <v/>
      </c>
      <c r="H23" s="94">
        <f>G23-F23</f>
        <v/>
      </c>
    </row>
    <row r="24" ht="15" customHeight="1" s="57">
      <c r="A24" s="61" t="inlineStr">
        <is>
          <t>Check: USDA reported ending stocks</t>
        </is>
      </c>
      <c r="B24" s="74" t="inlineStr">
        <is>
          <t>M bu</t>
        </is>
      </c>
      <c r="C24" s="77" t="n">
        <v>325</v>
      </c>
      <c r="D24" s="77" t="n">
        <v>315</v>
      </c>
      <c r="E24" s="77" t="n">
        <v>310</v>
      </c>
      <c r="F24" s="77" t="n">
        <v>315</v>
      </c>
    </row>
    <row r="25" ht="15" customHeight="1" s="57">
      <c r="A25" s="61" t="inlineStr">
        <is>
          <t>Check: model - reported</t>
        </is>
      </c>
      <c r="B25" s="74" t="inlineStr">
        <is>
          <t>M bu</t>
        </is>
      </c>
      <c r="C25" s="85">
        <f>C17-C24</f>
        <v/>
      </c>
      <c r="D25" s="85">
        <f>D17-D24</f>
        <v/>
      </c>
      <c r="E25" s="85">
        <f>E17-E24</f>
        <v/>
      </c>
      <c r="F25" s="85">
        <f>F17-F24</f>
        <v/>
      </c>
      <c r="I25" s="59" t="inlineStr">
        <is>
          <t>Rounding vs USDA published (should be within +/-2)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K5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46" customWidth="1" style="56" min="1" max="1"/>
    <col width="13" customWidth="1" style="56" min="2" max="5"/>
    <col width="15" customWidth="1" style="56" min="6" max="6"/>
    <col width="14" customWidth="1" style="56" min="7" max="7"/>
    <col width="12" customWidth="1" style="56" min="8" max="9"/>
    <col width="11" customWidth="1" style="56" min="10" max="10"/>
    <col width="60" customWidth="1" style="56" min="11" max="11"/>
  </cols>
  <sheetData>
    <row r="1" ht="17.35" customHeight="1" s="57">
      <c r="A1" s="58" t="inlineStr">
        <is>
          <t>WORLD SOYBEAN BALANCE SHEET (million metric tons)</t>
        </is>
      </c>
    </row>
    <row r="2" ht="15" customHeight="1" s="57">
      <c r="A2" s="59" t="inlineStr">
        <is>
          <t>USDA blocks = FAS Oilseeds: World Markets &amp; Trade, Oct-26 [S2]. Rest of World = World minus named countries. 'Other use' = implied (seed/feed/food/residual).</t>
        </is>
      </c>
    </row>
    <row r="4" ht="15" customHeight="1" s="57">
      <c r="A4" s="60" t="inlineStr">
        <is>
          <t>2025/26 - USDA (Oct-26)</t>
        </is>
      </c>
    </row>
    <row r="5" ht="15" customHeight="1" s="57">
      <c r="A5" s="70" t="inlineStr">
        <is>
          <t>Country</t>
        </is>
      </c>
      <c r="B5" s="70" t="inlineStr">
        <is>
          <t>Beg stocks</t>
        </is>
      </c>
      <c r="C5" s="70" t="inlineStr">
        <is>
          <t>Production</t>
        </is>
      </c>
      <c r="D5" s="70" t="inlineStr">
        <is>
          <t>Imports</t>
        </is>
      </c>
      <c r="E5" s="70" t="inlineStr">
        <is>
          <t>Crush</t>
        </is>
      </c>
      <c r="F5" s="70" t="inlineStr">
        <is>
          <t>Other use (impl.)</t>
        </is>
      </c>
      <c r="G5" s="70" t="inlineStr">
        <is>
          <t>Total dom. use</t>
        </is>
      </c>
      <c r="H5" s="70" t="inlineStr">
        <is>
          <t>Exports</t>
        </is>
      </c>
      <c r="I5" s="70" t="inlineStr">
        <is>
          <t>End stocks</t>
        </is>
      </c>
      <c r="J5" s="70" t="inlineStr">
        <is>
          <t>Stocks/use</t>
        </is>
      </c>
    </row>
    <row r="6" ht="15" customHeight="1" s="57">
      <c r="A6" s="61" t="inlineStr">
        <is>
          <t>United States</t>
        </is>
      </c>
      <c r="B6" s="93" t="n">
        <v>8.84</v>
      </c>
      <c r="C6" s="93" t="n">
        <v>115.966</v>
      </c>
      <c r="D6" s="95">
        <f>US_BS!D10/Inputs!$B$6</f>
        <v/>
      </c>
      <c r="E6" s="93" t="n">
        <v>72.003</v>
      </c>
      <c r="F6" s="94">
        <f>B6+C6+D6-E6-H6-I6</f>
        <v/>
      </c>
      <c r="G6" s="94">
        <f>E6+F6</f>
        <v/>
      </c>
      <c r="H6" s="93" t="n">
        <v>41.243</v>
      </c>
      <c r="I6" s="93" t="n">
        <v>8.577</v>
      </c>
      <c r="J6" s="92">
        <f>IF((G6+H6)=0,0,I6/(G6+H6))</f>
        <v/>
      </c>
    </row>
    <row r="7" ht="15" customHeight="1" s="57">
      <c r="A7" s="61" t="inlineStr">
        <is>
          <t>Brazil</t>
        </is>
      </c>
      <c r="B7" s="93" t="n">
        <v>37.688</v>
      </c>
      <c r="C7" s="93" t="n">
        <v>180.5</v>
      </c>
      <c r="D7" s="93" t="n">
        <v>0</v>
      </c>
      <c r="E7" s="93" t="n">
        <v>62.5</v>
      </c>
      <c r="F7" s="94">
        <f>B7+C7+D7-E7-H7-I7</f>
        <v/>
      </c>
      <c r="G7" s="94">
        <f>E7+F7</f>
        <v/>
      </c>
      <c r="H7" s="93" t="n">
        <v>114.46</v>
      </c>
      <c r="I7" s="93" t="n">
        <v>37.881</v>
      </c>
      <c r="J7" s="92">
        <f>IF((G7+H7)=0,0,I7/(G7+H7))</f>
        <v/>
      </c>
    </row>
    <row r="8" ht="15" customHeight="1" s="57">
      <c r="A8" s="61" t="inlineStr">
        <is>
          <t>Argentina</t>
        </is>
      </c>
      <c r="B8" s="93" t="n">
        <v>24.671</v>
      </c>
      <c r="C8" s="93" t="n">
        <v>49.3</v>
      </c>
      <c r="D8" s="93" t="n">
        <v>7.5</v>
      </c>
      <c r="E8" s="93" t="n">
        <v>43</v>
      </c>
      <c r="F8" s="94">
        <f>B8+C8+D8-E8-H8-I8</f>
        <v/>
      </c>
      <c r="G8" s="94">
        <f>E8+F8</f>
        <v/>
      </c>
      <c r="H8" s="93" t="n">
        <v>8.9</v>
      </c>
      <c r="I8" s="93" t="n">
        <v>23.671</v>
      </c>
      <c r="J8" s="92">
        <f>IF((G8+H8)=0,0,I8/(G8+H8))</f>
        <v/>
      </c>
    </row>
    <row r="9" ht="15" customHeight="1" s="57">
      <c r="A9" s="61" t="inlineStr">
        <is>
          <t>Paraguay</t>
        </is>
      </c>
      <c r="B9" s="93" t="n">
        <v>0</v>
      </c>
      <c r="C9" s="93" t="n">
        <v>12.1</v>
      </c>
      <c r="D9" s="93" t="n">
        <v>0</v>
      </c>
      <c r="E9" s="93" t="n">
        <v>3.8</v>
      </c>
      <c r="F9" s="94">
        <f>B9+C9+D9-E9-H9-I9</f>
        <v/>
      </c>
      <c r="G9" s="94">
        <f>E9+F9</f>
        <v/>
      </c>
      <c r="H9" s="93" t="n">
        <v>8.199999999999999</v>
      </c>
      <c r="I9" s="93" t="n">
        <v>0</v>
      </c>
      <c r="J9" s="92">
        <f>IF((G9+H9)=0,0,I9/(G9+H9))</f>
        <v/>
      </c>
    </row>
    <row r="10" ht="15" customHeight="1" s="57">
      <c r="A10" s="61" t="inlineStr">
        <is>
          <t>China</t>
        </is>
      </c>
      <c r="B10" s="93" t="n">
        <v>44.489</v>
      </c>
      <c r="C10" s="93" t="n">
        <v>20.9</v>
      </c>
      <c r="D10" s="93" t="n">
        <v>113</v>
      </c>
      <c r="E10" s="93" t="n">
        <v>109</v>
      </c>
      <c r="F10" s="94">
        <f>B10+C10+D10-E10-H10-I10</f>
        <v/>
      </c>
      <c r="G10" s="94">
        <f>E10+F10</f>
        <v/>
      </c>
      <c r="H10" s="93" t="n">
        <v>0</v>
      </c>
      <c r="I10" s="93" t="n">
        <v>44.359</v>
      </c>
      <c r="J10" s="92">
        <f>IF((G10+H10)=0,0,I10/(G10+H10))</f>
        <v/>
      </c>
    </row>
    <row r="11" ht="15" customHeight="1" s="57">
      <c r="A11" s="61" t="inlineStr">
        <is>
          <t>Rest of World</t>
        </is>
      </c>
      <c r="B11" s="94">
        <f>B12-SUM(B6:B10)</f>
        <v/>
      </c>
      <c r="C11" s="94">
        <f>C12-SUM(C6:C10)</f>
        <v/>
      </c>
      <c r="D11" s="94">
        <f>D12-SUM(D6:D10)</f>
        <v/>
      </c>
      <c r="E11" s="94">
        <f>E12-SUM(E6:E10)</f>
        <v/>
      </c>
      <c r="F11" s="94">
        <f>B11+C11+D11-E11-H11-I11</f>
        <v/>
      </c>
      <c r="G11" s="94">
        <f>E11+F11</f>
        <v/>
      </c>
      <c r="H11" s="94">
        <f>H12-SUM(H6:H10)</f>
        <v/>
      </c>
      <c r="I11" s="94">
        <f>I12-SUM(I6:I10)</f>
        <v/>
      </c>
      <c r="J11" s="92">
        <f>IF((G11+H11)=0,0,I11/(G11+H11))</f>
        <v/>
      </c>
    </row>
    <row r="12" ht="15" customHeight="1" s="57">
      <c r="A12" s="65" t="inlineStr">
        <is>
          <t>WORLD</t>
        </is>
      </c>
      <c r="B12" s="93" t="n">
        <v>125.965</v>
      </c>
      <c r="C12" s="93" t="n">
        <v>429.185</v>
      </c>
      <c r="D12" s="93" t="n">
        <v>188.527</v>
      </c>
      <c r="E12" s="93" t="n">
        <v>375.838</v>
      </c>
      <c r="F12" s="94">
        <f>B12+C12+D12-E12-H12-I12</f>
        <v/>
      </c>
      <c r="G12" s="96">
        <f>E12+F12</f>
        <v/>
      </c>
      <c r="H12" s="93" t="n">
        <v>186.423</v>
      </c>
      <c r="I12" s="93" t="n">
        <v>124.927</v>
      </c>
      <c r="J12" s="92">
        <f>IF((G12+H12)=0,0,I12/(G12+H12))</f>
        <v/>
      </c>
    </row>
    <row r="15" ht="15" customHeight="1" s="57">
      <c r="A15" s="60" t="inlineStr">
        <is>
          <t>2026/27 - USDA (Oct-26)</t>
        </is>
      </c>
    </row>
    <row r="16" ht="15" customHeight="1" s="57">
      <c r="A16" s="70" t="inlineStr">
        <is>
          <t>Country</t>
        </is>
      </c>
      <c r="B16" s="70" t="inlineStr">
        <is>
          <t>Beg stocks</t>
        </is>
      </c>
      <c r="C16" s="70" t="inlineStr">
        <is>
          <t>Production</t>
        </is>
      </c>
      <c r="D16" s="70" t="inlineStr">
        <is>
          <t>Imports</t>
        </is>
      </c>
      <c r="E16" s="70" t="inlineStr">
        <is>
          <t>Crush</t>
        </is>
      </c>
      <c r="F16" s="70" t="inlineStr">
        <is>
          <t>Other use (impl.)</t>
        </is>
      </c>
      <c r="G16" s="70" t="inlineStr">
        <is>
          <t>Total dom. use</t>
        </is>
      </c>
      <c r="H16" s="70" t="inlineStr">
        <is>
          <t>Exports</t>
        </is>
      </c>
      <c r="I16" s="70" t="inlineStr">
        <is>
          <t>End stocks</t>
        </is>
      </c>
      <c r="J16" s="70" t="inlineStr">
        <is>
          <t>Stocks/use</t>
        </is>
      </c>
    </row>
    <row r="17" ht="15" customHeight="1" s="57">
      <c r="A17" s="61" t="inlineStr">
        <is>
          <t>United States</t>
        </is>
      </c>
      <c r="B17" s="94">
        <f>I6</f>
        <v/>
      </c>
      <c r="C17" s="93" t="n">
        <v>124.147</v>
      </c>
      <c r="D17" s="95">
        <f>US_BS!F10/Inputs!$B$6</f>
        <v/>
      </c>
      <c r="E17" s="93" t="n">
        <v>75.65900000000001</v>
      </c>
      <c r="F17" s="94">
        <f>B17+C17+D17-E17-H17-I17</f>
        <v/>
      </c>
      <c r="G17" s="94">
        <f>E17+F17</f>
        <v/>
      </c>
      <c r="H17" s="93" t="n">
        <v>46.13</v>
      </c>
      <c r="I17" s="93" t="n">
        <v>8.571999999999999</v>
      </c>
      <c r="J17" s="92">
        <f>IF((G17+H17)=0,0,I17/(G17+H17))</f>
        <v/>
      </c>
    </row>
    <row r="18" ht="15" customHeight="1" s="57">
      <c r="A18" s="61" t="inlineStr">
        <is>
          <t>Brazil</t>
        </is>
      </c>
      <c r="B18" s="94">
        <f>I7</f>
        <v/>
      </c>
      <c r="C18" s="93" t="n">
        <v>186</v>
      </c>
      <c r="D18" s="93" t="n">
        <v>0</v>
      </c>
      <c r="E18" s="93" t="n">
        <v>65</v>
      </c>
      <c r="F18" s="94">
        <f>B18+C18+D18-E18-H18-I18</f>
        <v/>
      </c>
      <c r="G18" s="94">
        <f>E18+F18</f>
        <v/>
      </c>
      <c r="H18" s="93" t="n">
        <v>118</v>
      </c>
      <c r="I18" s="93" t="n">
        <v>37.281</v>
      </c>
      <c r="J18" s="92">
        <f>IF((G18+H18)=0,0,I18/(G18+H18))</f>
        <v/>
      </c>
    </row>
    <row r="19" ht="15" customHeight="1" s="57">
      <c r="A19" s="61" t="inlineStr">
        <is>
          <t>Argentina</t>
        </is>
      </c>
      <c r="B19" s="94">
        <f>I8</f>
        <v/>
      </c>
      <c r="C19" s="93" t="n">
        <v>50</v>
      </c>
      <c r="D19" s="93" t="n">
        <v>6.5</v>
      </c>
      <c r="E19" s="93" t="n">
        <v>43.5</v>
      </c>
      <c r="F19" s="94">
        <f>B19+C19+D19-E19-H19-I19</f>
        <v/>
      </c>
      <c r="G19" s="94">
        <f>E19+F19</f>
        <v/>
      </c>
      <c r="H19" s="93" t="n">
        <v>6.45</v>
      </c>
      <c r="I19" s="93" t="n">
        <v>24.071</v>
      </c>
      <c r="J19" s="92">
        <f>IF((G19+H19)=0,0,I19/(G19+H19))</f>
        <v/>
      </c>
    </row>
    <row r="20" ht="15" customHeight="1" s="57">
      <c r="A20" s="61" t="inlineStr">
        <is>
          <t>Paraguay</t>
        </is>
      </c>
      <c r="B20" s="94">
        <f>I9</f>
        <v/>
      </c>
      <c r="C20" s="93" t="n">
        <v>11.1</v>
      </c>
      <c r="D20" s="93" t="n">
        <v>0</v>
      </c>
      <c r="E20" s="93" t="n">
        <v>3.6</v>
      </c>
      <c r="F20" s="94">
        <f>B20+C20+D20-E20-H20-I20</f>
        <v/>
      </c>
      <c r="G20" s="94">
        <f>E20+F20</f>
        <v/>
      </c>
      <c r="H20" s="93" t="n">
        <v>7.35</v>
      </c>
      <c r="I20" s="93" t="n">
        <v>0</v>
      </c>
      <c r="J20" s="92">
        <f>IF((G20+H20)=0,0,I20/(G20+H20))</f>
        <v/>
      </c>
    </row>
    <row r="21" ht="15" customHeight="1" s="57">
      <c r="A21" s="61" t="inlineStr">
        <is>
          <t>China</t>
        </is>
      </c>
      <c r="B21" s="94">
        <f>I10</f>
        <v/>
      </c>
      <c r="C21" s="93" t="n">
        <v>21</v>
      </c>
      <c r="D21" s="93" t="n">
        <v>115</v>
      </c>
      <c r="E21" s="93" t="n">
        <v>111</v>
      </c>
      <c r="F21" s="94">
        <f>B21+C21+D21-E21-H21-I21</f>
        <v/>
      </c>
      <c r="G21" s="94">
        <f>E21+F21</f>
        <v/>
      </c>
      <c r="H21" s="93" t="n">
        <v>0</v>
      </c>
      <c r="I21" s="93" t="n">
        <v>44.259</v>
      </c>
      <c r="J21" s="92">
        <f>IF((G21+H21)=0,0,I21/(G21+H21))</f>
        <v/>
      </c>
    </row>
    <row r="22" ht="15" customHeight="1" s="57">
      <c r="A22" s="61" t="inlineStr">
        <is>
          <t>Rest of World</t>
        </is>
      </c>
      <c r="B22" s="94">
        <f>B23-SUM(B17:B21)</f>
        <v/>
      </c>
      <c r="C22" s="94">
        <f>C23-SUM(C17:C21)</f>
        <v/>
      </c>
      <c r="D22" s="94">
        <f>D23-SUM(D17:D21)</f>
        <v/>
      </c>
      <c r="E22" s="94">
        <f>E23-SUM(E17:E21)</f>
        <v/>
      </c>
      <c r="F22" s="94">
        <f>B22+C22+D22-E22-H22-I22</f>
        <v/>
      </c>
      <c r="G22" s="94">
        <f>E22+F22</f>
        <v/>
      </c>
      <c r="H22" s="94">
        <f>H23-SUM(H17:H21)</f>
        <v/>
      </c>
      <c r="I22" s="94">
        <f>I23-SUM(I17:I21)</f>
        <v/>
      </c>
      <c r="J22" s="92">
        <f>IF((G22+H22)=0,0,I22/(G22+H22))</f>
        <v/>
      </c>
    </row>
    <row r="23" ht="15" customHeight="1" s="57">
      <c r="A23" s="65" t="inlineStr">
        <is>
          <t>WORLD</t>
        </is>
      </c>
      <c r="B23" s="94">
        <f>I12</f>
        <v/>
      </c>
      <c r="C23" s="93" t="n">
        <v>442.7</v>
      </c>
      <c r="D23" s="93" t="n">
        <v>190.823</v>
      </c>
      <c r="E23" s="93" t="n">
        <v>385.714</v>
      </c>
      <c r="F23" s="94">
        <f>B23+C23+D23-E23-H23-I23</f>
        <v/>
      </c>
      <c r="G23" s="96">
        <f>E23+F23</f>
        <v/>
      </c>
      <c r="H23" s="93" t="n">
        <v>191.995</v>
      </c>
      <c r="I23" s="93" t="n">
        <v>124.278</v>
      </c>
      <c r="J23" s="92">
        <f>IF((G23+H23)=0,0,I23/(G23+H23))</f>
        <v/>
      </c>
    </row>
    <row r="26" ht="15" customHeight="1" s="57">
      <c r="A26" s="60" t="inlineStr">
        <is>
          <t>2026/27 - HOUSE VIEW</t>
        </is>
      </c>
    </row>
    <row r="27" ht="15" customHeight="1" s="57">
      <c r="A27" s="70" t="inlineStr">
        <is>
          <t>Country</t>
        </is>
      </c>
      <c r="B27" s="70" t="inlineStr">
        <is>
          <t>Beg stocks</t>
        </is>
      </c>
      <c r="C27" s="70" t="inlineStr">
        <is>
          <t>Production</t>
        </is>
      </c>
      <c r="D27" s="70" t="inlineStr">
        <is>
          <t>Imports</t>
        </is>
      </c>
      <c r="E27" s="70" t="inlineStr">
        <is>
          <t>Crush</t>
        </is>
      </c>
      <c r="F27" s="70" t="inlineStr">
        <is>
          <t>Other use (impl.)</t>
        </is>
      </c>
      <c r="G27" s="70" t="inlineStr">
        <is>
          <t>Total dom. use</t>
        </is>
      </c>
      <c r="H27" s="70" t="inlineStr">
        <is>
          <t>Exports</t>
        </is>
      </c>
      <c r="I27" s="70" t="inlineStr">
        <is>
          <t>End stocks</t>
        </is>
      </c>
      <c r="J27" s="70" t="inlineStr">
        <is>
          <t>Stocks/use</t>
        </is>
      </c>
    </row>
    <row r="28" ht="15" customHeight="1" s="57">
      <c r="A28" s="61" t="inlineStr">
        <is>
          <t>United States</t>
        </is>
      </c>
      <c r="B28" s="94">
        <f>B17</f>
        <v/>
      </c>
      <c r="C28" s="95">
        <f>US_BS!G9/Inputs!$B$6</f>
        <v/>
      </c>
      <c r="D28" s="95">
        <f>US_BS!G10/Inputs!$B$6</f>
        <v/>
      </c>
      <c r="E28" s="95">
        <f>US_BS!G12/Inputs!$B$6</f>
        <v/>
      </c>
      <c r="F28" s="94">
        <f>B28+C28+D28-E28-H28-I28</f>
        <v/>
      </c>
      <c r="G28" s="94">
        <f>E28+F28</f>
        <v/>
      </c>
      <c r="H28" s="95">
        <f>US_BS!G13/Inputs!$B$6</f>
        <v/>
      </c>
      <c r="I28" s="95">
        <f>US_BS!G17/Inputs!$B$6</f>
        <v/>
      </c>
      <c r="J28" s="92">
        <f>IF((G28+H28)=0,0,I28/(G28+H28))</f>
        <v/>
      </c>
    </row>
    <row r="29" ht="15" customHeight="1" s="57">
      <c r="A29" s="61" t="inlineStr">
        <is>
          <t>Brazil</t>
        </is>
      </c>
      <c r="B29" s="94">
        <f>B18</f>
        <v/>
      </c>
      <c r="C29" s="95">
        <f>Inputs!$B$16</f>
        <v/>
      </c>
      <c r="D29" s="94">
        <f>D18</f>
        <v/>
      </c>
      <c r="E29" s="94">
        <f>E18</f>
        <v/>
      </c>
      <c r="F29" s="94">
        <f>F18</f>
        <v/>
      </c>
      <c r="G29" s="94">
        <f>E29+F29</f>
        <v/>
      </c>
      <c r="H29" s="94">
        <f>H18+(C29-C18)*Inputs!$B$17-(H28-H17)*Inputs!$B$18</f>
        <v/>
      </c>
      <c r="I29" s="94">
        <f>B29+C29+D29-E29-F29-H29</f>
        <v/>
      </c>
      <c r="J29" s="92">
        <f>IF((G29+H29)=0,0,I29/(G29+H29))</f>
        <v/>
      </c>
    </row>
    <row r="30" ht="15" customHeight="1" s="57">
      <c r="A30" s="61" t="inlineStr">
        <is>
          <t>Argentina</t>
        </is>
      </c>
      <c r="B30" s="94">
        <f>B19</f>
        <v/>
      </c>
      <c r="C30" s="95">
        <f>Inputs!$B$19</f>
        <v/>
      </c>
      <c r="D30" s="94">
        <f>D19</f>
        <v/>
      </c>
      <c r="E30" s="94">
        <f>E19</f>
        <v/>
      </c>
      <c r="F30" s="94">
        <f>F19</f>
        <v/>
      </c>
      <c r="G30" s="94">
        <f>E30+F30</f>
        <v/>
      </c>
      <c r="H30" s="94">
        <f>H19</f>
        <v/>
      </c>
      <c r="I30" s="94">
        <f>B30+C30+D30-E30-F30-H30</f>
        <v/>
      </c>
      <c r="J30" s="92">
        <f>IF((G30+H30)=0,0,I30/(G30+H30))</f>
        <v/>
      </c>
    </row>
    <row r="31" ht="15" customHeight="1" s="57">
      <c r="A31" s="61" t="inlineStr">
        <is>
          <t>Paraguay</t>
        </is>
      </c>
      <c r="B31" s="94">
        <f>B20</f>
        <v/>
      </c>
      <c r="C31" s="94">
        <f>C20</f>
        <v/>
      </c>
      <c r="D31" s="94">
        <f>D20</f>
        <v/>
      </c>
      <c r="E31" s="94">
        <f>E20</f>
        <v/>
      </c>
      <c r="F31" s="94">
        <f>F20</f>
        <v/>
      </c>
      <c r="G31" s="94">
        <f>E31+F31</f>
        <v/>
      </c>
      <c r="H31" s="94">
        <f>H20</f>
        <v/>
      </c>
      <c r="I31" s="94">
        <f>B31+C31+D31-E31-F31-H31</f>
        <v/>
      </c>
      <c r="J31" s="92">
        <f>IF((G31+H31)=0,0,I31/(G31+H31))</f>
        <v/>
      </c>
    </row>
    <row r="32" ht="15" customHeight="1" s="57">
      <c r="A32" s="61" t="inlineStr">
        <is>
          <t>China</t>
        </is>
      </c>
      <c r="B32" s="94">
        <f>B21</f>
        <v/>
      </c>
      <c r="C32" s="94">
        <f>C21</f>
        <v/>
      </c>
      <c r="D32" s="95">
        <f>Inputs!$B$20</f>
        <v/>
      </c>
      <c r="E32" s="94">
        <f>E21+(D32-D21)*Inputs!$B$21</f>
        <v/>
      </c>
      <c r="F32" s="94">
        <f>F21</f>
        <v/>
      </c>
      <c r="G32" s="94">
        <f>E32+F32</f>
        <v/>
      </c>
      <c r="H32" s="94">
        <f>H21</f>
        <v/>
      </c>
      <c r="I32" s="94">
        <f>B32+C32+D32-E32-F32-H32</f>
        <v/>
      </c>
      <c r="J32" s="92">
        <f>IF((G32+H32)=0,0,I32/(G32+H32))</f>
        <v/>
      </c>
    </row>
    <row r="33" ht="15" customHeight="1" s="57">
      <c r="A33" s="61" t="inlineStr">
        <is>
          <t>Rest of World</t>
        </is>
      </c>
      <c r="B33" s="94">
        <f>B22</f>
        <v/>
      </c>
      <c r="C33" s="94">
        <f>C22</f>
        <v/>
      </c>
      <c r="D33" s="94">
        <f>D22+((H28-H17)+(H29-H18)+(H30-H19)+(H31-H20)+(H32-H21))-((D28-D17)+(D29-D18)+(D30-D19)+(D31-D20)+(D32-D21))</f>
        <v/>
      </c>
      <c r="E33" s="94">
        <f>E22</f>
        <v/>
      </c>
      <c r="F33" s="94">
        <f>F22</f>
        <v/>
      </c>
      <c r="G33" s="94">
        <f>E33+F33</f>
        <v/>
      </c>
      <c r="H33" s="94">
        <f>H22</f>
        <v/>
      </c>
      <c r="I33" s="94">
        <f>B33+C33+D33-E33-F33-H33</f>
        <v/>
      </c>
      <c r="J33" s="92">
        <f>IF((G33+H33)=0,0,I33/(G33+H33))</f>
        <v/>
      </c>
      <c r="K33" s="97" t="inlineStr">
        <is>
          <t>RoW imports absorb any net change in world trade (exports - imports) so trade balances vs USDA.</t>
        </is>
      </c>
    </row>
    <row r="34" ht="15" customHeight="1" s="57">
      <c r="A34" s="65" t="inlineStr">
        <is>
          <t>WORLD</t>
        </is>
      </c>
      <c r="B34" s="96">
        <f>SUM(B28:B33)</f>
        <v/>
      </c>
      <c r="C34" s="96">
        <f>SUM(C28:C33)</f>
        <v/>
      </c>
      <c r="D34" s="96">
        <f>SUM(D28:D33)</f>
        <v/>
      </c>
      <c r="E34" s="96">
        <f>SUM(E28:E33)</f>
        <v/>
      </c>
      <c r="F34" s="96">
        <f>SUM(F28:F33)</f>
        <v/>
      </c>
      <c r="G34" s="96">
        <f>E34+F34</f>
        <v/>
      </c>
      <c r="H34" s="96">
        <f>SUM(H28:H33)</f>
        <v/>
      </c>
      <c r="I34" s="96">
        <f>SUM(I28:I33)</f>
        <v/>
      </c>
      <c r="J34" s="92">
        <f>IF((G34+H34)=0,0,I34/(G34+H34))</f>
        <v/>
      </c>
    </row>
    <row r="37" ht="15" customHeight="1" s="57">
      <c r="A37" s="60" t="inlineStr">
        <is>
          <t>KEY METRICS</t>
        </is>
      </c>
    </row>
    <row r="38" ht="23.85" customHeight="1" s="57">
      <c r="A38" s="70" t="inlineStr">
        <is>
          <t>Metric</t>
        </is>
      </c>
      <c r="B38" s="70" t="inlineStr">
        <is>
          <t>2025/26 USDA</t>
        </is>
      </c>
      <c r="C38" s="70" t="inlineStr">
        <is>
          <t>2026/27 USDA</t>
        </is>
      </c>
      <c r="D38" s="70" t="inlineStr">
        <is>
          <t>2026/27 HOUSE</t>
        </is>
      </c>
      <c r="E38" s="70" t="inlineStr">
        <is>
          <t>House - USDA</t>
        </is>
      </c>
    </row>
    <row r="39" ht="15" customHeight="1" s="57">
      <c r="A39" s="61" t="inlineStr">
        <is>
          <t>World ending stocks (MMT)</t>
        </is>
      </c>
      <c r="B39" s="94">
        <f>I12</f>
        <v/>
      </c>
      <c r="C39" s="94">
        <f>I23</f>
        <v/>
      </c>
      <c r="D39" s="98">
        <f>I34</f>
        <v/>
      </c>
      <c r="E39" s="94">
        <f>D39-C39</f>
        <v/>
      </c>
    </row>
    <row r="40" ht="15" customHeight="1" s="57">
      <c r="A40" s="61" t="inlineStr">
        <is>
          <t>World stocks / use</t>
        </is>
      </c>
      <c r="B40" s="92">
        <f>J12</f>
        <v/>
      </c>
      <c r="C40" s="92">
        <f>J23</f>
        <v/>
      </c>
      <c r="D40" s="99">
        <f>J34</f>
        <v/>
      </c>
      <c r="E40" s="92">
        <f>D40-C40</f>
        <v/>
      </c>
    </row>
    <row r="41" ht="15" customHeight="1" s="57">
      <c r="A41" s="61" t="inlineStr">
        <is>
          <t>World ex-China ending stocks (MMT)</t>
        </is>
      </c>
      <c r="B41" s="94">
        <f>I12-I10</f>
        <v/>
      </c>
      <c r="C41" s="94">
        <f>I23-I21</f>
        <v/>
      </c>
      <c r="D41" s="98">
        <f>I34-I32</f>
        <v/>
      </c>
      <c r="E41" s="94">
        <f>D41-C41</f>
        <v/>
      </c>
    </row>
    <row r="42" ht="15" customHeight="1" s="57">
      <c r="A42" s="61" t="inlineStr">
        <is>
          <t>World ex-China stocks / use</t>
        </is>
      </c>
      <c r="B42" s="92">
        <f>(I12-I10)/((G12+H12)-(G10+H10))</f>
        <v/>
      </c>
      <c r="C42" s="92">
        <f>(I23-I21)/((G23+H23)-(G21+H21))</f>
        <v/>
      </c>
      <c r="D42" s="99">
        <f>(I34-I32)/((G34+H34)-(G32+H32))</f>
        <v/>
      </c>
      <c r="E42" s="92">
        <f>D42-C42</f>
        <v/>
      </c>
    </row>
    <row r="43" ht="15" customHeight="1" s="57">
      <c r="A43" s="61" t="inlineStr">
        <is>
          <t>Major exporters stocks: US+BR+AR (MMT)</t>
        </is>
      </c>
      <c r="B43" s="94">
        <f>I6+I7+I8</f>
        <v/>
      </c>
      <c r="C43" s="94">
        <f>I17+I18+I19</f>
        <v/>
      </c>
      <c r="D43" s="98">
        <f>I28+I29+I30</f>
        <v/>
      </c>
      <c r="E43" s="94">
        <f>D43-C43</f>
        <v/>
      </c>
    </row>
    <row r="44" ht="15" customHeight="1" s="57">
      <c r="A44" s="61" t="inlineStr">
        <is>
          <t>Exporter stocks / exporter use (US+BR+AR)</t>
        </is>
      </c>
      <c r="B44" s="92">
        <f>(I6+I7+I8)/(G6+H6+G7+H7+G8+H8)</f>
        <v/>
      </c>
      <c r="C44" s="92">
        <f>(I17+I18+I19)/(G17+H17+G18+H18+G19+H19)</f>
        <v/>
      </c>
      <c r="D44" s="99">
        <f>(I28+I29+I30)/(G28+H28+G29+H29+G30+H30)</f>
        <v/>
      </c>
      <c r="E44" s="92">
        <f>D44-C44</f>
        <v/>
      </c>
    </row>
    <row r="45" ht="15" customHeight="1" s="57">
      <c r="A45" s="61" t="inlineStr">
        <is>
          <t>US share of world exports</t>
        </is>
      </c>
      <c r="B45" s="92">
        <f>H6/H12</f>
        <v/>
      </c>
      <c r="C45" s="92">
        <f>H17/H23</f>
        <v/>
      </c>
      <c r="D45" s="99">
        <f>H28/H34</f>
        <v/>
      </c>
      <c r="E45" s="92">
        <f>D45-C45</f>
        <v/>
      </c>
    </row>
    <row r="46" ht="15" customHeight="1" s="57">
      <c r="A46" s="61" t="inlineStr">
        <is>
          <t>Brazil share of world exports</t>
        </is>
      </c>
      <c r="B46" s="92">
        <f>H7/H12</f>
        <v/>
      </c>
      <c r="C46" s="92">
        <f>H18/H23</f>
        <v/>
      </c>
      <c r="D46" s="99">
        <f>H29/H34</f>
        <v/>
      </c>
      <c r="E46" s="92">
        <f>D46-C46</f>
        <v/>
      </c>
    </row>
    <row r="47" ht="15" customHeight="1" s="57">
      <c r="A47" s="61" t="inlineStr">
        <is>
          <t>China share of world imports</t>
        </is>
      </c>
      <c r="B47" s="92">
        <f>D10/D12</f>
        <v/>
      </c>
      <c r="C47" s="92">
        <f>D21/D23</f>
        <v/>
      </c>
      <c r="D47" s="99">
        <f>D32/D34</f>
        <v/>
      </c>
      <c r="E47" s="92">
        <f>D47-C47</f>
        <v/>
      </c>
    </row>
    <row r="48" ht="15" customHeight="1" s="57">
      <c r="A48" s="61" t="inlineStr">
        <is>
          <t>Trade gap: world exports - imports (MMT)</t>
        </is>
      </c>
      <c r="B48" s="94">
        <f>H12-D12</f>
        <v/>
      </c>
      <c r="C48" s="94">
        <f>H23-D23</f>
        <v/>
      </c>
      <c r="D48" s="98">
        <f>H34-D34</f>
        <v/>
      </c>
      <c r="E48" s="94">
        <f>D48-C48</f>
        <v/>
      </c>
    </row>
    <row r="50" ht="15" customHeight="1" s="57">
      <c r="A50" s="60" t="inlineStr">
        <is>
          <t>CHECKS</t>
        </is>
      </c>
    </row>
    <row r="51" ht="15" customHeight="1" s="57">
      <c r="A51" s="61" t="inlineStr">
        <is>
          <t>USDA world domestic use 2026/27 (reported)</t>
        </is>
      </c>
      <c r="B51" s="93" t="n">
        <v>442.18</v>
      </c>
    </row>
    <row r="52" ht="15" customHeight="1" s="57">
      <c r="A52" s="61" t="inlineStr">
        <is>
          <t>Model world domestic use 2026/27 - reported</t>
        </is>
      </c>
      <c r="B52" s="100">
        <f>G23-B51</f>
        <v/>
      </c>
    </row>
    <row r="53" ht="15" customHeight="1" s="57">
      <c r="A53" s="61" t="inlineStr">
        <is>
          <t>US end stocks: World_BS (FAS) - US_BS (WASDE), MMT</t>
        </is>
      </c>
      <c r="B53" s="100">
        <f>I17-US_BS!F23</f>
        <v/>
      </c>
    </row>
    <row r="54" ht="15" customHeight="1" s="57">
      <c r="A54" s="61" t="inlineStr">
        <is>
          <t>House world end stocks - USDA (MMT)</t>
        </is>
      </c>
      <c r="B54" s="94">
        <f>I34-I23</f>
        <v/>
      </c>
    </row>
    <row r="55" ht="15" customHeight="1" s="57">
      <c r="A55" s="61" t="inlineStr">
        <is>
          <t>Memo: EU 2026/27 imports / crush / end stocks (not in balance; inside RoW)</t>
        </is>
      </c>
      <c r="B55" s="93" t="n">
        <v>13.7</v>
      </c>
      <c r="C55" s="93" t="n">
        <v>14.85</v>
      </c>
      <c r="D55" s="93" t="n">
        <v>1.33</v>
      </c>
    </row>
    <row r="56" ht="15" customHeight="1" s="57">
      <c r="A56" s="61" t="inlineStr">
        <is>
          <t>Memo: China imports - CASDE (May-26) vs USDA (MMT)</t>
        </is>
      </c>
      <c r="B56" s="75" t="n">
        <v>95.5</v>
      </c>
      <c r="C56" s="86">
        <f>D21</f>
        <v/>
      </c>
      <c r="D56" s="85">
        <f>B56-C56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I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3" customWidth="1" style="56" min="1" max="1"/>
    <col width="30" customWidth="1" style="56" min="2" max="2"/>
    <col width="19" customWidth="1" style="56" min="3" max="3"/>
    <col width="12" customWidth="1" style="56" min="4" max="4"/>
    <col width="11" customWidth="1" style="56" min="5" max="5"/>
    <col width="12" customWidth="1" style="56" min="6" max="6"/>
    <col width="13" customWidth="1" style="56" min="7" max="8"/>
    <col width="11" customWidth="1" style="56" min="9" max="9"/>
  </cols>
  <sheetData>
    <row r="1" ht="17.35" customHeight="1" s="57">
      <c r="A1" s="58" t="inlineStr">
        <is>
          <t>PRICE MODEL: US season-average farm price vs ln(stocks/use)</t>
        </is>
      </c>
    </row>
    <row r="2" ht="15" customHeight="1" s="57">
      <c r="A2" s="59" t="inlineStr">
        <is>
          <t>Weighted OLS via SUMPRODUCT; set Include=0 to drop structural-break years (e.g. trade war). Low R2 = S/U is necessary but not sufficient.</t>
        </is>
      </c>
    </row>
    <row r="4" ht="15" customHeight="1" s="57">
      <c r="A4" s="70" t="inlineStr">
        <is>
          <t>Marketing yr</t>
        </is>
      </c>
      <c r="B4" s="70" t="inlineStr">
        <is>
          <t>End stocks (M bu)</t>
        </is>
      </c>
      <c r="C4" s="70" t="inlineStr">
        <is>
          <t>Total use (M bu)</t>
        </is>
      </c>
      <c r="D4" s="70" t="inlineStr">
        <is>
          <t>Stocks/use</t>
        </is>
      </c>
      <c r="E4" s="70" t="inlineStr">
        <is>
          <t>ln(S/U)</t>
        </is>
      </c>
      <c r="F4" s="70" t="inlineStr">
        <is>
          <t>SAFP ($/bu)</t>
        </is>
      </c>
      <c r="G4" s="70" t="inlineStr">
        <is>
          <t>Include (1/0)</t>
        </is>
      </c>
      <c r="H4" s="70" t="inlineStr">
        <is>
          <t>Fitted ($/bu)</t>
        </is>
      </c>
      <c r="I4" s="70" t="inlineStr">
        <is>
          <t>Residual</t>
        </is>
      </c>
    </row>
    <row r="5" ht="15" customHeight="1" s="57">
      <c r="A5" s="101" t="inlineStr">
        <is>
          <t>2014/15</t>
        </is>
      </c>
      <c r="B5" s="75" t="n">
        <v>190.6</v>
      </c>
      <c r="C5" s="77" t="n">
        <v>3861</v>
      </c>
      <c r="D5" s="92">
        <f>B5/C5</f>
        <v/>
      </c>
      <c r="E5" s="102">
        <f>LN(D5)</f>
        <v/>
      </c>
      <c r="F5" s="93" t="n">
        <v>10.1</v>
      </c>
      <c r="G5" s="84" t="n">
        <v>1</v>
      </c>
      <c r="H5" s="94">
        <f>$C$23+$C$22*E5</f>
        <v/>
      </c>
      <c r="I5" s="94">
        <f>F5-H5</f>
        <v/>
      </c>
    </row>
    <row r="6" ht="15" customHeight="1" s="57">
      <c r="A6" s="101" t="inlineStr">
        <is>
          <t>2015/16</t>
        </is>
      </c>
      <c r="B6" s="75" t="n">
        <v>196.7</v>
      </c>
      <c r="C6" s="77" t="n">
        <v>3944</v>
      </c>
      <c r="D6" s="92">
        <f>B6/C6</f>
        <v/>
      </c>
      <c r="E6" s="102">
        <f>LN(D6)</f>
        <v/>
      </c>
      <c r="F6" s="93" t="n">
        <v>8.949999999999999</v>
      </c>
      <c r="G6" s="84" t="n">
        <v>1</v>
      </c>
      <c r="H6" s="94">
        <f>$C$23+$C$22*E6</f>
        <v/>
      </c>
      <c r="I6" s="94">
        <f>F6-H6</f>
        <v/>
      </c>
    </row>
    <row r="7" ht="15" customHeight="1" s="57">
      <c r="A7" s="101" t="inlineStr">
        <is>
          <t>2016/17</t>
        </is>
      </c>
      <c r="B7" s="75" t="n">
        <v>301.6</v>
      </c>
      <c r="C7" s="77" t="n">
        <v>4213</v>
      </c>
      <c r="D7" s="92">
        <f>B7/C7</f>
        <v/>
      </c>
      <c r="E7" s="102">
        <f>LN(D7)</f>
        <v/>
      </c>
      <c r="F7" s="93" t="n">
        <v>9.470000000000001</v>
      </c>
      <c r="G7" s="84" t="n">
        <v>1</v>
      </c>
      <c r="H7" s="94">
        <f>$C$23+$C$22*E7</f>
        <v/>
      </c>
      <c r="I7" s="94">
        <f>F7-H7</f>
        <v/>
      </c>
    </row>
    <row r="8" ht="15" customHeight="1" s="57">
      <c r="A8" s="101" t="inlineStr">
        <is>
          <t>2017/18</t>
        </is>
      </c>
      <c r="B8" s="75" t="n">
        <v>438.1</v>
      </c>
      <c r="C8" s="77" t="n">
        <v>4298</v>
      </c>
      <c r="D8" s="92">
        <f>B8/C8</f>
        <v/>
      </c>
      <c r="E8" s="102">
        <f>LN(D8)</f>
        <v/>
      </c>
      <c r="F8" s="93" t="n">
        <v>9.33</v>
      </c>
      <c r="G8" s="84" t="n">
        <v>1</v>
      </c>
      <c r="H8" s="94">
        <f>$C$23+$C$22*E8</f>
        <v/>
      </c>
      <c r="I8" s="94">
        <f>F8-H8</f>
        <v/>
      </c>
    </row>
    <row r="9" ht="15" customHeight="1" s="57">
      <c r="A9" s="101" t="inlineStr">
        <is>
          <t>2018/19</t>
        </is>
      </c>
      <c r="B9" s="75" t="n">
        <v>925.1</v>
      </c>
      <c r="C9" s="77" t="n">
        <v>3955</v>
      </c>
      <c r="D9" s="92">
        <f>B9/C9</f>
        <v/>
      </c>
      <c r="E9" s="102">
        <f>LN(D9)</f>
        <v/>
      </c>
      <c r="F9" s="93" t="n">
        <v>8.48</v>
      </c>
      <c r="G9" s="84" t="n">
        <v>1</v>
      </c>
      <c r="H9" s="94">
        <f>$C$23+$C$22*E9</f>
        <v/>
      </c>
      <c r="I9" s="94">
        <f>F9-H9</f>
        <v/>
      </c>
    </row>
    <row r="10" ht="15" customHeight="1" s="57">
      <c r="A10" s="101" t="inlineStr">
        <is>
          <t>2019/20</t>
        </is>
      </c>
      <c r="B10" s="75" t="n">
        <v>538.5</v>
      </c>
      <c r="C10" s="77" t="n">
        <v>3938</v>
      </c>
      <c r="D10" s="92">
        <f>B10/C10</f>
        <v/>
      </c>
      <c r="E10" s="102">
        <f>LN(D10)</f>
        <v/>
      </c>
      <c r="F10" s="93" t="n">
        <v>8.57</v>
      </c>
      <c r="G10" s="84" t="n">
        <v>1</v>
      </c>
      <c r="H10" s="94">
        <f>$C$23+$C$22*E10</f>
        <v/>
      </c>
      <c r="I10" s="94">
        <f>F10-H10</f>
        <v/>
      </c>
    </row>
    <row r="11" ht="15" customHeight="1" s="57">
      <c r="A11" s="101" t="inlineStr">
        <is>
          <t>2020/21</t>
        </is>
      </c>
      <c r="B11" s="75" t="n">
        <v>257</v>
      </c>
      <c r="C11" s="77" t="n">
        <v>4504</v>
      </c>
      <c r="D11" s="92">
        <f>B11/C11</f>
        <v/>
      </c>
      <c r="E11" s="102">
        <f>LN(D11)</f>
        <v/>
      </c>
      <c r="F11" s="93" t="n">
        <v>10.8</v>
      </c>
      <c r="G11" s="84" t="n">
        <v>1</v>
      </c>
      <c r="H11" s="94">
        <f>$C$23+$C$22*E11</f>
        <v/>
      </c>
      <c r="I11" s="94">
        <f>F11-H11</f>
        <v/>
      </c>
    </row>
    <row r="12" ht="15" customHeight="1" s="57">
      <c r="A12" s="101" t="inlineStr">
        <is>
          <t>2021/22</t>
        </is>
      </c>
      <c r="B12" s="75" t="n">
        <v>274.4</v>
      </c>
      <c r="C12" s="77" t="n">
        <v>4464</v>
      </c>
      <c r="D12" s="92">
        <f>B12/C12</f>
        <v/>
      </c>
      <c r="E12" s="102">
        <f>LN(D12)</f>
        <v/>
      </c>
      <c r="F12" s="93" t="n">
        <v>13.3</v>
      </c>
      <c r="G12" s="84" t="n">
        <v>1</v>
      </c>
      <c r="H12" s="94">
        <f>$C$23+$C$22*E12</f>
        <v/>
      </c>
      <c r="I12" s="94">
        <f>F12-H12</f>
        <v/>
      </c>
    </row>
    <row r="13" ht="15" customHeight="1" s="57">
      <c r="A13" s="101" t="inlineStr">
        <is>
          <t>2022/23</t>
        </is>
      </c>
      <c r="B13" s="75" t="n">
        <v>264.2</v>
      </c>
      <c r="C13" s="77" t="n">
        <v>4305</v>
      </c>
      <c r="D13" s="92">
        <f>B13/C13</f>
        <v/>
      </c>
      <c r="E13" s="102">
        <f>LN(D13)</f>
        <v/>
      </c>
      <c r="F13" s="93" t="n">
        <v>14.2</v>
      </c>
      <c r="G13" s="84" t="n">
        <v>1</v>
      </c>
      <c r="H13" s="94">
        <f>$C$23+$C$22*E13</f>
        <v/>
      </c>
      <c r="I13" s="94">
        <f>F13-H13</f>
        <v/>
      </c>
    </row>
    <row r="14" ht="15" customHeight="1" s="57">
      <c r="A14" s="101" t="inlineStr">
        <is>
          <t>2023/24</t>
        </is>
      </c>
      <c r="B14" s="75" t="n">
        <v>342.4</v>
      </c>
      <c r="C14" s="77" t="n">
        <v>4105</v>
      </c>
      <c r="D14" s="92">
        <f>B14/C14</f>
        <v/>
      </c>
      <c r="E14" s="102">
        <f>LN(D14)</f>
        <v/>
      </c>
      <c r="F14" s="93" t="n">
        <v>12.4</v>
      </c>
      <c r="G14" s="84" t="n">
        <v>1</v>
      </c>
      <c r="H14" s="94">
        <f>$C$23+$C$22*E14</f>
        <v/>
      </c>
      <c r="I14" s="94">
        <f>F14-H14</f>
        <v/>
      </c>
    </row>
    <row r="15" ht="15" customHeight="1" s="57">
      <c r="A15" s="101" t="inlineStr">
        <is>
          <t>2024/25</t>
        </is>
      </c>
      <c r="B15" s="86">
        <f>US_BS!C17</f>
        <v/>
      </c>
      <c r="C15" s="88">
        <f>US_BS!C16</f>
        <v/>
      </c>
      <c r="D15" s="92">
        <f>B15/C15</f>
        <v/>
      </c>
      <c r="E15" s="102">
        <f>LN(D15)</f>
        <v/>
      </c>
      <c r="F15" s="93" t="n">
        <v>10</v>
      </c>
      <c r="G15" s="84" t="n">
        <v>1</v>
      </c>
      <c r="H15" s="94">
        <f>$C$23+$C$22*E15</f>
        <v/>
      </c>
      <c r="I15" s="94">
        <f>F15-H15</f>
        <v/>
      </c>
    </row>
    <row r="16" ht="15" customHeight="1" s="57">
      <c r="A16" s="101" t="inlineStr">
        <is>
          <t>2025/26</t>
        </is>
      </c>
      <c r="B16" s="86">
        <f>US_BS!D17</f>
        <v/>
      </c>
      <c r="C16" s="88">
        <f>US_BS!D16</f>
        <v/>
      </c>
      <c r="D16" s="92">
        <f>B16/C16</f>
        <v/>
      </c>
      <c r="E16" s="102">
        <f>LN(D16)</f>
        <v/>
      </c>
      <c r="F16" s="93" t="n">
        <v>10.5</v>
      </c>
      <c r="G16" s="84" t="n">
        <v>1</v>
      </c>
      <c r="H16" s="94">
        <f>$C$23+$C$22*E16</f>
        <v/>
      </c>
      <c r="I16" s="94">
        <f>F16-H16</f>
        <v/>
      </c>
    </row>
    <row r="19" ht="15" customHeight="1" s="57">
      <c r="A19" s="60" t="inlineStr">
        <is>
          <t>REGRESSION</t>
        </is>
      </c>
      <c r="B19" s="61" t="inlineStr">
        <is>
          <t>n (included)</t>
        </is>
      </c>
      <c r="C19" s="103">
        <f>SUM(G5:G16)</f>
        <v/>
      </c>
    </row>
    <row r="20" ht="15" customHeight="1" s="57">
      <c r="B20" s="61" t="inlineStr">
        <is>
          <t>Mean ln(S/U)</t>
        </is>
      </c>
      <c r="C20" s="104">
        <f>SUMPRODUCT(G5:G16,E5:E16)/C19</f>
        <v/>
      </c>
    </row>
    <row r="21" ht="15" customHeight="1" s="57">
      <c r="B21" s="61" t="inlineStr">
        <is>
          <t>Mean price</t>
        </is>
      </c>
      <c r="C21" s="96">
        <f>SUMPRODUCT(G5:G16,F5:F16)/C19</f>
        <v/>
      </c>
    </row>
    <row r="22" ht="15" customHeight="1" s="57">
      <c r="B22" s="61" t="inlineStr">
        <is>
          <t>Slope ($ per unit ln S/U)</t>
        </is>
      </c>
      <c r="C22" s="105">
        <f>SUMPRODUCT(G5:G16,E5:E16-C20,F5:F16-C21)/SUMPRODUCT(G5:G16,E5:E16-C20,E5:E16-C20)</f>
        <v/>
      </c>
    </row>
    <row r="23" ht="15" customHeight="1" s="57">
      <c r="B23" s="61" t="inlineStr">
        <is>
          <t>Intercept</t>
        </is>
      </c>
      <c r="C23" s="105">
        <f>C21-C22*C20</f>
        <v/>
      </c>
    </row>
    <row r="24" ht="15" customHeight="1" s="57">
      <c r="B24" s="61" t="inlineStr">
        <is>
          <t>R-squared</t>
        </is>
      </c>
      <c r="C24" s="106">
        <f>1-SUMPRODUCT(G5:G16,((F5:F16)-($C$23+$C$22*(E5:E16)))^2)/SUMPRODUCT(G5:G16,((F5:F16)-C21)^2)</f>
        <v/>
      </c>
    </row>
    <row r="25" ht="15" customHeight="1" s="57">
      <c r="A25" s="60" t="inlineStr">
        <is>
          <t>IMPLIED 2026/27 PRICE</t>
        </is>
      </c>
    </row>
    <row r="26" ht="15" customHeight="1" s="57">
      <c r="A26" s="70" t="n"/>
      <c r="B26" s="70" t="inlineStr">
        <is>
          <t>Case</t>
        </is>
      </c>
      <c r="C26" s="70" t="inlineStr">
        <is>
          <t>Implied SAFP ($/bu)</t>
        </is>
      </c>
      <c r="D26" s="70" t="inlineStr">
        <is>
          <t>S/U</t>
        </is>
      </c>
      <c r="E26" s="70" t="inlineStr">
        <is>
          <t>USDA SAFP</t>
        </is>
      </c>
    </row>
    <row r="27" ht="15" customHeight="1" s="57">
      <c r="B27" s="61" t="inlineStr">
        <is>
          <t>HOUSE</t>
        </is>
      </c>
      <c r="C27" s="107">
        <f>$C$23+$C$22*LN(D27)</f>
        <v/>
      </c>
      <c r="D27" s="108">
        <f>US_BS!G18</f>
        <v/>
      </c>
    </row>
    <row r="28" ht="15" customHeight="1" s="57">
      <c r="B28" s="61" t="inlineStr">
        <is>
          <t>USDA Oct</t>
        </is>
      </c>
      <c r="C28" s="96">
        <f>$C$23+$C$22*LN(D28)</f>
        <v/>
      </c>
      <c r="D28" s="108">
        <f>US_BS!F18</f>
        <v/>
      </c>
      <c r="E28" s="95">
        <f>US_BS!F19</f>
        <v/>
      </c>
    </row>
    <row r="29" ht="15" customHeight="1" s="57">
      <c r="B29" s="61" t="inlineStr">
        <is>
          <t>House - USDA ($/bu)</t>
        </is>
      </c>
      <c r="C29" s="94">
        <f>C27-C28</f>
        <v/>
      </c>
    </row>
    <row r="31" ht="15" customHeight="1" s="57">
      <c r="A31" s="59" t="inlineStr">
        <is>
          <t>Read-across: SAFP is a farm-gate average; Nov futures trade ~$0.5-1.0 over SAFP in tight years (basis). Use the CHANGE (C29) as the signal, not the level.</t>
        </is>
      </c>
    </row>
    <row r="32" ht="15" customHeight="1" s="57">
      <c r="A32" s="59" t="inlineStr">
        <is>
          <t>Structural breaks: 2018/19-2019/20 (US-China trade war) and 2024-26 (tariffs, biofuel policy) weaken the fit - test with Include=0.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G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" customWidth="1" style="56" min="1" max="1"/>
    <col width="12" customWidth="1" style="56" min="2" max="7"/>
  </cols>
  <sheetData>
    <row r="1" ht="17.35" customHeight="1" s="57">
      <c r="A1" s="58" t="inlineStr">
        <is>
          <t>SCENARIO GRIDS - US 2026/27</t>
        </is>
      </c>
    </row>
    <row r="2" ht="15" customHeight="1" s="57">
      <c r="A2" s="59" t="inlineStr">
        <is>
          <t>Other balance-sheet items held at House view (US_BS col G). Rows = yield, columns = exports.</t>
        </is>
      </c>
    </row>
    <row r="4" ht="15" customHeight="1" s="57">
      <c r="A4" s="60" t="inlineStr">
        <is>
          <t>1) Ending stocks (M bu)</t>
        </is>
      </c>
    </row>
    <row r="5" ht="15" customHeight="1" s="57">
      <c r="A5" s="71" t="inlineStr">
        <is>
          <t>Yield \ Exports (M bu)</t>
        </is>
      </c>
      <c r="B5" s="109" t="n">
        <v>1600</v>
      </c>
      <c r="C5" s="109" t="n">
        <v>1650</v>
      </c>
      <c r="D5" s="109" t="n">
        <v>1695</v>
      </c>
      <c r="E5" s="109" t="n">
        <v>1745</v>
      </c>
      <c r="F5" s="109" t="n">
        <v>1800</v>
      </c>
      <c r="G5" s="109" t="n">
        <v>1850</v>
      </c>
    </row>
    <row r="6" ht="15" customHeight="1" s="57">
      <c r="A6" s="75" t="n">
        <v>51.5</v>
      </c>
      <c r="B6" s="87">
        <f>(US_BS!$G$8+US_BS!$G$6*$A6+US_BS!$G$10-(US_BS!$G$12+B$5+US_BS!$G$14+US_BS!$G$15))</f>
        <v/>
      </c>
      <c r="C6" s="87">
        <f>(US_BS!$G$8+US_BS!$G$6*$A6+US_BS!$G$10-(US_BS!$G$12+C$5+US_BS!$G$14+US_BS!$G$15))</f>
        <v/>
      </c>
      <c r="D6" s="87">
        <f>(US_BS!$G$8+US_BS!$G$6*$A6+US_BS!$G$10-(US_BS!$G$12+D$5+US_BS!$G$14+US_BS!$G$15))</f>
        <v/>
      </c>
      <c r="E6" s="87">
        <f>(US_BS!$G$8+US_BS!$G$6*$A6+US_BS!$G$10-(US_BS!$G$12+E$5+US_BS!$G$14+US_BS!$G$15))</f>
        <v/>
      </c>
      <c r="F6" s="87">
        <f>(US_BS!$G$8+US_BS!$G$6*$A6+US_BS!$G$10-(US_BS!$G$12+F$5+US_BS!$G$14+US_BS!$G$15))</f>
        <v/>
      </c>
      <c r="G6" s="87">
        <f>(US_BS!$G$8+US_BS!$G$6*$A6+US_BS!$G$10-(US_BS!$G$12+G$5+US_BS!$G$14+US_BS!$G$15))</f>
        <v/>
      </c>
    </row>
    <row r="7" ht="15" customHeight="1" s="57">
      <c r="A7" s="75" t="n">
        <v>52</v>
      </c>
      <c r="B7" s="87">
        <f>(US_BS!$G$8+US_BS!$G$6*$A7+US_BS!$G$10-(US_BS!$G$12+B$5+US_BS!$G$14+US_BS!$G$15))</f>
        <v/>
      </c>
      <c r="C7" s="87">
        <f>(US_BS!$G$8+US_BS!$G$6*$A7+US_BS!$G$10-(US_BS!$G$12+C$5+US_BS!$G$14+US_BS!$G$15))</f>
        <v/>
      </c>
      <c r="D7" s="87">
        <f>(US_BS!$G$8+US_BS!$G$6*$A7+US_BS!$G$10-(US_BS!$G$12+D$5+US_BS!$G$14+US_BS!$G$15))</f>
        <v/>
      </c>
      <c r="E7" s="87">
        <f>(US_BS!$G$8+US_BS!$G$6*$A7+US_BS!$G$10-(US_BS!$G$12+E$5+US_BS!$G$14+US_BS!$G$15))</f>
        <v/>
      </c>
      <c r="F7" s="87">
        <f>(US_BS!$G$8+US_BS!$G$6*$A7+US_BS!$G$10-(US_BS!$G$12+F$5+US_BS!$G$14+US_BS!$G$15))</f>
        <v/>
      </c>
      <c r="G7" s="87">
        <f>(US_BS!$G$8+US_BS!$G$6*$A7+US_BS!$G$10-(US_BS!$G$12+G$5+US_BS!$G$14+US_BS!$G$15))</f>
        <v/>
      </c>
    </row>
    <row r="8" ht="15" customHeight="1" s="57">
      <c r="A8" s="75" t="n">
        <v>52.5</v>
      </c>
      <c r="B8" s="87">
        <f>(US_BS!$G$8+US_BS!$G$6*$A8+US_BS!$G$10-(US_BS!$G$12+B$5+US_BS!$G$14+US_BS!$G$15))</f>
        <v/>
      </c>
      <c r="C8" s="87">
        <f>(US_BS!$G$8+US_BS!$G$6*$A8+US_BS!$G$10-(US_BS!$G$12+C$5+US_BS!$G$14+US_BS!$G$15))</f>
        <v/>
      </c>
      <c r="D8" s="87">
        <f>(US_BS!$G$8+US_BS!$G$6*$A8+US_BS!$G$10-(US_BS!$G$12+D$5+US_BS!$G$14+US_BS!$G$15))</f>
        <v/>
      </c>
      <c r="E8" s="87">
        <f>(US_BS!$G$8+US_BS!$G$6*$A8+US_BS!$G$10-(US_BS!$G$12+E$5+US_BS!$G$14+US_BS!$G$15))</f>
        <v/>
      </c>
      <c r="F8" s="87">
        <f>(US_BS!$G$8+US_BS!$G$6*$A8+US_BS!$G$10-(US_BS!$G$12+F$5+US_BS!$G$14+US_BS!$G$15))</f>
        <v/>
      </c>
      <c r="G8" s="87">
        <f>(US_BS!$G$8+US_BS!$G$6*$A8+US_BS!$G$10-(US_BS!$G$12+G$5+US_BS!$G$14+US_BS!$G$15))</f>
        <v/>
      </c>
    </row>
    <row r="9" ht="15" customHeight="1" s="57">
      <c r="A9" s="75" t="n">
        <v>52.9</v>
      </c>
      <c r="B9" s="87">
        <f>(US_BS!$G$8+US_BS!$G$6*$A9+US_BS!$G$10-(US_BS!$G$12+B$5+US_BS!$G$14+US_BS!$G$15))</f>
        <v/>
      </c>
      <c r="C9" s="87">
        <f>(US_BS!$G$8+US_BS!$G$6*$A9+US_BS!$G$10-(US_BS!$G$12+C$5+US_BS!$G$14+US_BS!$G$15))</f>
        <v/>
      </c>
      <c r="D9" s="87">
        <f>(US_BS!$G$8+US_BS!$G$6*$A9+US_BS!$G$10-(US_BS!$G$12+D$5+US_BS!$G$14+US_BS!$G$15))</f>
        <v/>
      </c>
      <c r="E9" s="87">
        <f>(US_BS!$G$8+US_BS!$G$6*$A9+US_BS!$G$10-(US_BS!$G$12+E$5+US_BS!$G$14+US_BS!$G$15))</f>
        <v/>
      </c>
      <c r="F9" s="87">
        <f>(US_BS!$G$8+US_BS!$G$6*$A9+US_BS!$G$10-(US_BS!$G$12+F$5+US_BS!$G$14+US_BS!$G$15))</f>
        <v/>
      </c>
      <c r="G9" s="87">
        <f>(US_BS!$G$8+US_BS!$G$6*$A9+US_BS!$G$10-(US_BS!$G$12+G$5+US_BS!$G$14+US_BS!$G$15))</f>
        <v/>
      </c>
    </row>
    <row r="10" ht="15" customHeight="1" s="57">
      <c r="A10" s="75" t="n">
        <v>53.1</v>
      </c>
      <c r="B10" s="87">
        <f>(US_BS!$G$8+US_BS!$G$6*$A10+US_BS!$G$10-(US_BS!$G$12+B$5+US_BS!$G$14+US_BS!$G$15))</f>
        <v/>
      </c>
      <c r="C10" s="87">
        <f>(US_BS!$G$8+US_BS!$G$6*$A10+US_BS!$G$10-(US_BS!$G$12+C$5+US_BS!$G$14+US_BS!$G$15))</f>
        <v/>
      </c>
      <c r="D10" s="87">
        <f>(US_BS!$G$8+US_BS!$G$6*$A10+US_BS!$G$10-(US_BS!$G$12+D$5+US_BS!$G$14+US_BS!$G$15))</f>
        <v/>
      </c>
      <c r="E10" s="87">
        <f>(US_BS!$G$8+US_BS!$G$6*$A10+US_BS!$G$10-(US_BS!$G$12+E$5+US_BS!$G$14+US_BS!$G$15))</f>
        <v/>
      </c>
      <c r="F10" s="87">
        <f>(US_BS!$G$8+US_BS!$G$6*$A10+US_BS!$G$10-(US_BS!$G$12+F$5+US_BS!$G$14+US_BS!$G$15))</f>
        <v/>
      </c>
      <c r="G10" s="87">
        <f>(US_BS!$G$8+US_BS!$G$6*$A10+US_BS!$G$10-(US_BS!$G$12+G$5+US_BS!$G$14+US_BS!$G$15))</f>
        <v/>
      </c>
    </row>
    <row r="11" ht="15" customHeight="1" s="57">
      <c r="A11" s="75" t="n">
        <v>53.5</v>
      </c>
      <c r="B11" s="87">
        <f>(US_BS!$G$8+US_BS!$G$6*$A11+US_BS!$G$10-(US_BS!$G$12+B$5+US_BS!$G$14+US_BS!$G$15))</f>
        <v/>
      </c>
      <c r="C11" s="87">
        <f>(US_BS!$G$8+US_BS!$G$6*$A11+US_BS!$G$10-(US_BS!$G$12+C$5+US_BS!$G$14+US_BS!$G$15))</f>
        <v/>
      </c>
      <c r="D11" s="87">
        <f>(US_BS!$G$8+US_BS!$G$6*$A11+US_BS!$G$10-(US_BS!$G$12+D$5+US_BS!$G$14+US_BS!$G$15))</f>
        <v/>
      </c>
      <c r="E11" s="87">
        <f>(US_BS!$G$8+US_BS!$G$6*$A11+US_BS!$G$10-(US_BS!$G$12+E$5+US_BS!$G$14+US_BS!$G$15))</f>
        <v/>
      </c>
      <c r="F11" s="87">
        <f>(US_BS!$G$8+US_BS!$G$6*$A11+US_BS!$G$10-(US_BS!$G$12+F$5+US_BS!$G$14+US_BS!$G$15))</f>
        <v/>
      </c>
      <c r="G11" s="87">
        <f>(US_BS!$G$8+US_BS!$G$6*$A11+US_BS!$G$10-(US_BS!$G$12+G$5+US_BS!$G$14+US_BS!$G$15))</f>
        <v/>
      </c>
    </row>
    <row r="12" ht="15" customHeight="1" s="57">
      <c r="A12" s="75" t="n">
        <v>54</v>
      </c>
      <c r="B12" s="87">
        <f>(US_BS!$G$8+US_BS!$G$6*$A12+US_BS!$G$10-(US_BS!$G$12+B$5+US_BS!$G$14+US_BS!$G$15))</f>
        <v/>
      </c>
      <c r="C12" s="87">
        <f>(US_BS!$G$8+US_BS!$G$6*$A12+US_BS!$G$10-(US_BS!$G$12+C$5+US_BS!$G$14+US_BS!$G$15))</f>
        <v/>
      </c>
      <c r="D12" s="87">
        <f>(US_BS!$G$8+US_BS!$G$6*$A12+US_BS!$G$10-(US_BS!$G$12+D$5+US_BS!$G$14+US_BS!$G$15))</f>
        <v/>
      </c>
      <c r="E12" s="87">
        <f>(US_BS!$G$8+US_BS!$G$6*$A12+US_BS!$G$10-(US_BS!$G$12+E$5+US_BS!$G$14+US_BS!$G$15))</f>
        <v/>
      </c>
      <c r="F12" s="87">
        <f>(US_BS!$G$8+US_BS!$G$6*$A12+US_BS!$G$10-(US_BS!$G$12+F$5+US_BS!$G$14+US_BS!$G$15))</f>
        <v/>
      </c>
      <c r="G12" s="87">
        <f>(US_BS!$G$8+US_BS!$G$6*$A12+US_BS!$G$10-(US_BS!$G$12+G$5+US_BS!$G$14+US_BS!$G$15))</f>
        <v/>
      </c>
    </row>
    <row r="13" ht="15" customHeight="1" s="57">
      <c r="A13" s="75" t="n">
        <v>54.5</v>
      </c>
      <c r="B13" s="87">
        <f>(US_BS!$G$8+US_BS!$G$6*$A13+US_BS!$G$10-(US_BS!$G$12+B$5+US_BS!$G$14+US_BS!$G$15))</f>
        <v/>
      </c>
      <c r="C13" s="87">
        <f>(US_BS!$G$8+US_BS!$G$6*$A13+US_BS!$G$10-(US_BS!$G$12+C$5+US_BS!$G$14+US_BS!$G$15))</f>
        <v/>
      </c>
      <c r="D13" s="87">
        <f>(US_BS!$G$8+US_BS!$G$6*$A13+US_BS!$G$10-(US_BS!$G$12+D$5+US_BS!$G$14+US_BS!$G$15))</f>
        <v/>
      </c>
      <c r="E13" s="87">
        <f>(US_BS!$G$8+US_BS!$G$6*$A13+US_BS!$G$10-(US_BS!$G$12+E$5+US_BS!$G$14+US_BS!$G$15))</f>
        <v/>
      </c>
      <c r="F13" s="87">
        <f>(US_BS!$G$8+US_BS!$G$6*$A13+US_BS!$G$10-(US_BS!$G$12+F$5+US_BS!$G$14+US_BS!$G$15))</f>
        <v/>
      </c>
      <c r="G13" s="87">
        <f>(US_BS!$G$8+US_BS!$G$6*$A13+US_BS!$G$10-(US_BS!$G$12+G$5+US_BS!$G$14+US_BS!$G$15))</f>
        <v/>
      </c>
    </row>
    <row r="16" ht="15" customHeight="1" s="57">
      <c r="A16" s="60" t="inlineStr">
        <is>
          <t>2) Stocks / use</t>
        </is>
      </c>
    </row>
    <row r="17" ht="15" customHeight="1" s="57">
      <c r="A17" s="71" t="inlineStr">
        <is>
          <t>Yield \ Exports (M bu)</t>
        </is>
      </c>
      <c r="B17" s="109" t="n">
        <v>1600</v>
      </c>
      <c r="C17" s="109" t="n">
        <v>1650</v>
      </c>
      <c r="D17" s="109" t="n">
        <v>1695</v>
      </c>
      <c r="E17" s="109" t="n">
        <v>1745</v>
      </c>
      <c r="F17" s="109" t="n">
        <v>1800</v>
      </c>
      <c r="G17" s="109" t="n">
        <v>1850</v>
      </c>
    </row>
    <row r="18" ht="15" customHeight="1" s="57">
      <c r="A18" s="75" t="n">
        <v>51.5</v>
      </c>
      <c r="B18" s="92">
        <f>(US_BS!$G$8+US_BS!$G$6*$A18+US_BS!$G$10-(US_BS!$G$12+B$17+US_BS!$G$14+US_BS!$G$15))/(US_BS!$G$12+B$17+US_BS!$G$14+US_BS!$G$15)</f>
        <v/>
      </c>
      <c r="C18" s="92">
        <f>(US_BS!$G$8+US_BS!$G$6*$A18+US_BS!$G$10-(US_BS!$G$12+C$17+US_BS!$G$14+US_BS!$G$15))/(US_BS!$G$12+C$17+US_BS!$G$14+US_BS!$G$15)</f>
        <v/>
      </c>
      <c r="D18" s="92">
        <f>(US_BS!$G$8+US_BS!$G$6*$A18+US_BS!$G$10-(US_BS!$G$12+D$17+US_BS!$G$14+US_BS!$G$15))/(US_BS!$G$12+D$17+US_BS!$G$14+US_BS!$G$15)</f>
        <v/>
      </c>
      <c r="E18" s="92">
        <f>(US_BS!$G$8+US_BS!$G$6*$A18+US_BS!$G$10-(US_BS!$G$12+E$17+US_BS!$G$14+US_BS!$G$15))/(US_BS!$G$12+E$17+US_BS!$G$14+US_BS!$G$15)</f>
        <v/>
      </c>
      <c r="F18" s="92">
        <f>(US_BS!$G$8+US_BS!$G$6*$A18+US_BS!$G$10-(US_BS!$G$12+F$17+US_BS!$G$14+US_BS!$G$15))/(US_BS!$G$12+F$17+US_BS!$G$14+US_BS!$G$15)</f>
        <v/>
      </c>
      <c r="G18" s="92">
        <f>(US_BS!$G$8+US_BS!$G$6*$A18+US_BS!$G$10-(US_BS!$G$12+G$17+US_BS!$G$14+US_BS!$G$15))/(US_BS!$G$12+G$17+US_BS!$G$14+US_BS!$G$15)</f>
        <v/>
      </c>
    </row>
    <row r="19" ht="15" customHeight="1" s="57">
      <c r="A19" s="75" t="n">
        <v>52</v>
      </c>
      <c r="B19" s="92">
        <f>(US_BS!$G$8+US_BS!$G$6*$A19+US_BS!$G$10-(US_BS!$G$12+B$17+US_BS!$G$14+US_BS!$G$15))/(US_BS!$G$12+B$17+US_BS!$G$14+US_BS!$G$15)</f>
        <v/>
      </c>
      <c r="C19" s="92">
        <f>(US_BS!$G$8+US_BS!$G$6*$A19+US_BS!$G$10-(US_BS!$G$12+C$17+US_BS!$G$14+US_BS!$G$15))/(US_BS!$G$12+C$17+US_BS!$G$14+US_BS!$G$15)</f>
        <v/>
      </c>
      <c r="D19" s="92">
        <f>(US_BS!$G$8+US_BS!$G$6*$A19+US_BS!$G$10-(US_BS!$G$12+D$17+US_BS!$G$14+US_BS!$G$15))/(US_BS!$G$12+D$17+US_BS!$G$14+US_BS!$G$15)</f>
        <v/>
      </c>
      <c r="E19" s="92">
        <f>(US_BS!$G$8+US_BS!$G$6*$A19+US_BS!$G$10-(US_BS!$G$12+E$17+US_BS!$G$14+US_BS!$G$15))/(US_BS!$G$12+E$17+US_BS!$G$14+US_BS!$G$15)</f>
        <v/>
      </c>
      <c r="F19" s="92">
        <f>(US_BS!$G$8+US_BS!$G$6*$A19+US_BS!$G$10-(US_BS!$G$12+F$17+US_BS!$G$14+US_BS!$G$15))/(US_BS!$G$12+F$17+US_BS!$G$14+US_BS!$G$15)</f>
        <v/>
      </c>
      <c r="G19" s="92">
        <f>(US_BS!$G$8+US_BS!$G$6*$A19+US_BS!$G$10-(US_BS!$G$12+G$17+US_BS!$G$14+US_BS!$G$15))/(US_BS!$G$12+G$17+US_BS!$G$14+US_BS!$G$15)</f>
        <v/>
      </c>
    </row>
    <row r="20" ht="15" customHeight="1" s="57">
      <c r="A20" s="75" t="n">
        <v>52.5</v>
      </c>
      <c r="B20" s="92">
        <f>(US_BS!$G$8+US_BS!$G$6*$A20+US_BS!$G$10-(US_BS!$G$12+B$17+US_BS!$G$14+US_BS!$G$15))/(US_BS!$G$12+B$17+US_BS!$G$14+US_BS!$G$15)</f>
        <v/>
      </c>
      <c r="C20" s="92">
        <f>(US_BS!$G$8+US_BS!$G$6*$A20+US_BS!$G$10-(US_BS!$G$12+C$17+US_BS!$G$14+US_BS!$G$15))/(US_BS!$G$12+C$17+US_BS!$G$14+US_BS!$G$15)</f>
        <v/>
      </c>
      <c r="D20" s="92">
        <f>(US_BS!$G$8+US_BS!$G$6*$A20+US_BS!$G$10-(US_BS!$G$12+D$17+US_BS!$G$14+US_BS!$G$15))/(US_BS!$G$12+D$17+US_BS!$G$14+US_BS!$G$15)</f>
        <v/>
      </c>
      <c r="E20" s="92">
        <f>(US_BS!$G$8+US_BS!$G$6*$A20+US_BS!$G$10-(US_BS!$G$12+E$17+US_BS!$G$14+US_BS!$G$15))/(US_BS!$G$12+E$17+US_BS!$G$14+US_BS!$G$15)</f>
        <v/>
      </c>
      <c r="F20" s="92">
        <f>(US_BS!$G$8+US_BS!$G$6*$A20+US_BS!$G$10-(US_BS!$G$12+F$17+US_BS!$G$14+US_BS!$G$15))/(US_BS!$G$12+F$17+US_BS!$G$14+US_BS!$G$15)</f>
        <v/>
      </c>
      <c r="G20" s="92">
        <f>(US_BS!$G$8+US_BS!$G$6*$A20+US_BS!$G$10-(US_BS!$G$12+G$17+US_BS!$G$14+US_BS!$G$15))/(US_BS!$G$12+G$17+US_BS!$G$14+US_BS!$G$15)</f>
        <v/>
      </c>
    </row>
    <row r="21" ht="15" customHeight="1" s="57">
      <c r="A21" s="75" t="n">
        <v>52.9</v>
      </c>
      <c r="B21" s="92">
        <f>(US_BS!$G$8+US_BS!$G$6*$A21+US_BS!$G$10-(US_BS!$G$12+B$17+US_BS!$G$14+US_BS!$G$15))/(US_BS!$G$12+B$17+US_BS!$G$14+US_BS!$G$15)</f>
        <v/>
      </c>
      <c r="C21" s="92">
        <f>(US_BS!$G$8+US_BS!$G$6*$A21+US_BS!$G$10-(US_BS!$G$12+C$17+US_BS!$G$14+US_BS!$G$15))/(US_BS!$G$12+C$17+US_BS!$G$14+US_BS!$G$15)</f>
        <v/>
      </c>
      <c r="D21" s="92">
        <f>(US_BS!$G$8+US_BS!$G$6*$A21+US_BS!$G$10-(US_BS!$G$12+D$17+US_BS!$G$14+US_BS!$G$15))/(US_BS!$G$12+D$17+US_BS!$G$14+US_BS!$G$15)</f>
        <v/>
      </c>
      <c r="E21" s="92">
        <f>(US_BS!$G$8+US_BS!$G$6*$A21+US_BS!$G$10-(US_BS!$G$12+E$17+US_BS!$G$14+US_BS!$G$15))/(US_BS!$G$12+E$17+US_BS!$G$14+US_BS!$G$15)</f>
        <v/>
      </c>
      <c r="F21" s="92">
        <f>(US_BS!$G$8+US_BS!$G$6*$A21+US_BS!$G$10-(US_BS!$G$12+F$17+US_BS!$G$14+US_BS!$G$15))/(US_BS!$G$12+F$17+US_BS!$G$14+US_BS!$G$15)</f>
        <v/>
      </c>
      <c r="G21" s="92">
        <f>(US_BS!$G$8+US_BS!$G$6*$A21+US_BS!$G$10-(US_BS!$G$12+G$17+US_BS!$G$14+US_BS!$G$15))/(US_BS!$G$12+G$17+US_BS!$G$14+US_BS!$G$15)</f>
        <v/>
      </c>
    </row>
    <row r="22" ht="15" customHeight="1" s="57">
      <c r="A22" s="75" t="n">
        <v>53.1</v>
      </c>
      <c r="B22" s="92">
        <f>(US_BS!$G$8+US_BS!$G$6*$A22+US_BS!$G$10-(US_BS!$G$12+B$17+US_BS!$G$14+US_BS!$G$15))/(US_BS!$G$12+B$17+US_BS!$G$14+US_BS!$G$15)</f>
        <v/>
      </c>
      <c r="C22" s="92">
        <f>(US_BS!$G$8+US_BS!$G$6*$A22+US_BS!$G$10-(US_BS!$G$12+C$17+US_BS!$G$14+US_BS!$G$15))/(US_BS!$G$12+C$17+US_BS!$G$14+US_BS!$G$15)</f>
        <v/>
      </c>
      <c r="D22" s="92">
        <f>(US_BS!$G$8+US_BS!$G$6*$A22+US_BS!$G$10-(US_BS!$G$12+D$17+US_BS!$G$14+US_BS!$G$15))/(US_BS!$G$12+D$17+US_BS!$G$14+US_BS!$G$15)</f>
        <v/>
      </c>
      <c r="E22" s="92">
        <f>(US_BS!$G$8+US_BS!$G$6*$A22+US_BS!$G$10-(US_BS!$G$12+E$17+US_BS!$G$14+US_BS!$G$15))/(US_BS!$G$12+E$17+US_BS!$G$14+US_BS!$G$15)</f>
        <v/>
      </c>
      <c r="F22" s="92">
        <f>(US_BS!$G$8+US_BS!$G$6*$A22+US_BS!$G$10-(US_BS!$G$12+F$17+US_BS!$G$14+US_BS!$G$15))/(US_BS!$G$12+F$17+US_BS!$G$14+US_BS!$G$15)</f>
        <v/>
      </c>
      <c r="G22" s="92">
        <f>(US_BS!$G$8+US_BS!$G$6*$A22+US_BS!$G$10-(US_BS!$G$12+G$17+US_BS!$G$14+US_BS!$G$15))/(US_BS!$G$12+G$17+US_BS!$G$14+US_BS!$G$15)</f>
        <v/>
      </c>
    </row>
    <row r="23" ht="15" customHeight="1" s="57">
      <c r="A23" s="75" t="n">
        <v>53.5</v>
      </c>
      <c r="B23" s="92">
        <f>(US_BS!$G$8+US_BS!$G$6*$A23+US_BS!$G$10-(US_BS!$G$12+B$17+US_BS!$G$14+US_BS!$G$15))/(US_BS!$G$12+B$17+US_BS!$G$14+US_BS!$G$15)</f>
        <v/>
      </c>
      <c r="C23" s="92">
        <f>(US_BS!$G$8+US_BS!$G$6*$A23+US_BS!$G$10-(US_BS!$G$12+C$17+US_BS!$G$14+US_BS!$G$15))/(US_BS!$G$12+C$17+US_BS!$G$14+US_BS!$G$15)</f>
        <v/>
      </c>
      <c r="D23" s="92">
        <f>(US_BS!$G$8+US_BS!$G$6*$A23+US_BS!$G$10-(US_BS!$G$12+D$17+US_BS!$G$14+US_BS!$G$15))/(US_BS!$G$12+D$17+US_BS!$G$14+US_BS!$G$15)</f>
        <v/>
      </c>
      <c r="E23" s="92">
        <f>(US_BS!$G$8+US_BS!$G$6*$A23+US_BS!$G$10-(US_BS!$G$12+E$17+US_BS!$G$14+US_BS!$G$15))/(US_BS!$G$12+E$17+US_BS!$G$14+US_BS!$G$15)</f>
        <v/>
      </c>
      <c r="F23" s="92">
        <f>(US_BS!$G$8+US_BS!$G$6*$A23+US_BS!$G$10-(US_BS!$G$12+F$17+US_BS!$G$14+US_BS!$G$15))/(US_BS!$G$12+F$17+US_BS!$G$14+US_BS!$G$15)</f>
        <v/>
      </c>
      <c r="G23" s="92">
        <f>(US_BS!$G$8+US_BS!$G$6*$A23+US_BS!$G$10-(US_BS!$G$12+G$17+US_BS!$G$14+US_BS!$G$15))/(US_BS!$G$12+G$17+US_BS!$G$14+US_BS!$G$15)</f>
        <v/>
      </c>
    </row>
    <row r="24" ht="15" customHeight="1" s="57">
      <c r="A24" s="75" t="n">
        <v>54</v>
      </c>
      <c r="B24" s="92">
        <f>(US_BS!$G$8+US_BS!$G$6*$A24+US_BS!$G$10-(US_BS!$G$12+B$17+US_BS!$G$14+US_BS!$G$15))/(US_BS!$G$12+B$17+US_BS!$G$14+US_BS!$G$15)</f>
        <v/>
      </c>
      <c r="C24" s="92">
        <f>(US_BS!$G$8+US_BS!$G$6*$A24+US_BS!$G$10-(US_BS!$G$12+C$17+US_BS!$G$14+US_BS!$G$15))/(US_BS!$G$12+C$17+US_BS!$G$14+US_BS!$G$15)</f>
        <v/>
      </c>
      <c r="D24" s="92">
        <f>(US_BS!$G$8+US_BS!$G$6*$A24+US_BS!$G$10-(US_BS!$G$12+D$17+US_BS!$G$14+US_BS!$G$15))/(US_BS!$G$12+D$17+US_BS!$G$14+US_BS!$G$15)</f>
        <v/>
      </c>
      <c r="E24" s="92">
        <f>(US_BS!$G$8+US_BS!$G$6*$A24+US_BS!$G$10-(US_BS!$G$12+E$17+US_BS!$G$14+US_BS!$G$15))/(US_BS!$G$12+E$17+US_BS!$G$14+US_BS!$G$15)</f>
        <v/>
      </c>
      <c r="F24" s="92">
        <f>(US_BS!$G$8+US_BS!$G$6*$A24+US_BS!$G$10-(US_BS!$G$12+F$17+US_BS!$G$14+US_BS!$G$15))/(US_BS!$G$12+F$17+US_BS!$G$14+US_BS!$G$15)</f>
        <v/>
      </c>
      <c r="G24" s="92">
        <f>(US_BS!$G$8+US_BS!$G$6*$A24+US_BS!$G$10-(US_BS!$G$12+G$17+US_BS!$G$14+US_BS!$G$15))/(US_BS!$G$12+G$17+US_BS!$G$14+US_BS!$G$15)</f>
        <v/>
      </c>
    </row>
    <row r="25" ht="15" customHeight="1" s="57">
      <c r="A25" s="75" t="n">
        <v>54.5</v>
      </c>
      <c r="B25" s="92">
        <f>(US_BS!$G$8+US_BS!$G$6*$A25+US_BS!$G$10-(US_BS!$G$12+B$17+US_BS!$G$14+US_BS!$G$15))/(US_BS!$G$12+B$17+US_BS!$G$14+US_BS!$G$15)</f>
        <v/>
      </c>
      <c r="C25" s="92">
        <f>(US_BS!$G$8+US_BS!$G$6*$A25+US_BS!$G$10-(US_BS!$G$12+C$17+US_BS!$G$14+US_BS!$G$15))/(US_BS!$G$12+C$17+US_BS!$G$14+US_BS!$G$15)</f>
        <v/>
      </c>
      <c r="D25" s="92">
        <f>(US_BS!$G$8+US_BS!$G$6*$A25+US_BS!$G$10-(US_BS!$G$12+D$17+US_BS!$G$14+US_BS!$G$15))/(US_BS!$G$12+D$17+US_BS!$G$14+US_BS!$G$15)</f>
        <v/>
      </c>
      <c r="E25" s="92">
        <f>(US_BS!$G$8+US_BS!$G$6*$A25+US_BS!$G$10-(US_BS!$G$12+E$17+US_BS!$G$14+US_BS!$G$15))/(US_BS!$G$12+E$17+US_BS!$G$14+US_BS!$G$15)</f>
        <v/>
      </c>
      <c r="F25" s="92">
        <f>(US_BS!$G$8+US_BS!$G$6*$A25+US_BS!$G$10-(US_BS!$G$12+F$17+US_BS!$G$14+US_BS!$G$15))/(US_BS!$G$12+F$17+US_BS!$G$14+US_BS!$G$15)</f>
        <v/>
      </c>
      <c r="G25" s="92">
        <f>(US_BS!$G$8+US_BS!$G$6*$A25+US_BS!$G$10-(US_BS!$G$12+G$17+US_BS!$G$14+US_BS!$G$15))/(US_BS!$G$12+G$17+US_BS!$G$14+US_BS!$G$15)</f>
        <v/>
      </c>
    </row>
    <row r="28" ht="15" customHeight="1" s="57">
      <c r="A28" s="60" t="inlineStr">
        <is>
          <t>3) Implied SAFP ($/bu) - Price_Model regression (floor S/U 0.5%)</t>
        </is>
      </c>
    </row>
    <row r="29" ht="15" customHeight="1" s="57">
      <c r="A29" s="71" t="inlineStr">
        <is>
          <t>Yield \ Exports (M bu)</t>
        </is>
      </c>
      <c r="B29" s="109" t="n">
        <v>1600</v>
      </c>
      <c r="C29" s="109" t="n">
        <v>1650</v>
      </c>
      <c r="D29" s="109" t="n">
        <v>1695</v>
      </c>
      <c r="E29" s="109" t="n">
        <v>1745</v>
      </c>
      <c r="F29" s="109" t="n">
        <v>1800</v>
      </c>
      <c r="G29" s="109" t="n">
        <v>1850</v>
      </c>
    </row>
    <row r="30" ht="15" customHeight="1" s="57">
      <c r="A30" s="75" t="n">
        <v>51.5</v>
      </c>
      <c r="B30" s="94">
        <f>Price_Model!$C$23+Price_Model!$C$22*LN(MAX(0.005,(US_BS!$G$8+US_BS!$G$6*$A30+US_BS!$G$10-(US_BS!$G$12+B$29+US_BS!$G$14+US_BS!$G$15))/(US_BS!$G$12+B$29+US_BS!$G$14+US_BS!$G$15)))</f>
        <v/>
      </c>
      <c r="C30" s="94">
        <f>Price_Model!$C$23+Price_Model!$C$22*LN(MAX(0.005,(US_BS!$G$8+US_BS!$G$6*$A30+US_BS!$G$10-(US_BS!$G$12+C$29+US_BS!$G$14+US_BS!$G$15))/(US_BS!$G$12+C$29+US_BS!$G$14+US_BS!$G$15)))</f>
        <v/>
      </c>
      <c r="D30" s="94">
        <f>Price_Model!$C$23+Price_Model!$C$22*LN(MAX(0.005,(US_BS!$G$8+US_BS!$G$6*$A30+US_BS!$G$10-(US_BS!$G$12+D$29+US_BS!$G$14+US_BS!$G$15))/(US_BS!$G$12+D$29+US_BS!$G$14+US_BS!$G$15)))</f>
        <v/>
      </c>
      <c r="E30" s="94">
        <f>Price_Model!$C$23+Price_Model!$C$22*LN(MAX(0.005,(US_BS!$G$8+US_BS!$G$6*$A30+US_BS!$G$10-(US_BS!$G$12+E$29+US_BS!$G$14+US_BS!$G$15))/(US_BS!$G$12+E$29+US_BS!$G$14+US_BS!$G$15)))</f>
        <v/>
      </c>
      <c r="F30" s="94">
        <f>Price_Model!$C$23+Price_Model!$C$22*LN(MAX(0.005,(US_BS!$G$8+US_BS!$G$6*$A30+US_BS!$G$10-(US_BS!$G$12+F$29+US_BS!$G$14+US_BS!$G$15))/(US_BS!$G$12+F$29+US_BS!$G$14+US_BS!$G$15)))</f>
        <v/>
      </c>
      <c r="G30" s="94">
        <f>Price_Model!$C$23+Price_Model!$C$22*LN(MAX(0.005,(US_BS!$G$8+US_BS!$G$6*$A30+US_BS!$G$10-(US_BS!$G$12+G$29+US_BS!$G$14+US_BS!$G$15))/(US_BS!$G$12+G$29+US_BS!$G$14+US_BS!$G$15)))</f>
        <v/>
      </c>
    </row>
    <row r="31" ht="15" customHeight="1" s="57">
      <c r="A31" s="75" t="n">
        <v>52</v>
      </c>
      <c r="B31" s="94">
        <f>Price_Model!$C$23+Price_Model!$C$22*LN(MAX(0.005,(US_BS!$G$8+US_BS!$G$6*$A31+US_BS!$G$10-(US_BS!$G$12+B$29+US_BS!$G$14+US_BS!$G$15))/(US_BS!$G$12+B$29+US_BS!$G$14+US_BS!$G$15)))</f>
        <v/>
      </c>
      <c r="C31" s="94">
        <f>Price_Model!$C$23+Price_Model!$C$22*LN(MAX(0.005,(US_BS!$G$8+US_BS!$G$6*$A31+US_BS!$G$10-(US_BS!$G$12+C$29+US_BS!$G$14+US_BS!$G$15))/(US_BS!$G$12+C$29+US_BS!$G$14+US_BS!$G$15)))</f>
        <v/>
      </c>
      <c r="D31" s="94">
        <f>Price_Model!$C$23+Price_Model!$C$22*LN(MAX(0.005,(US_BS!$G$8+US_BS!$G$6*$A31+US_BS!$G$10-(US_BS!$G$12+D$29+US_BS!$G$14+US_BS!$G$15))/(US_BS!$G$12+D$29+US_BS!$G$14+US_BS!$G$15)))</f>
        <v/>
      </c>
      <c r="E31" s="94">
        <f>Price_Model!$C$23+Price_Model!$C$22*LN(MAX(0.005,(US_BS!$G$8+US_BS!$G$6*$A31+US_BS!$G$10-(US_BS!$G$12+E$29+US_BS!$G$14+US_BS!$G$15))/(US_BS!$G$12+E$29+US_BS!$G$14+US_BS!$G$15)))</f>
        <v/>
      </c>
      <c r="F31" s="94">
        <f>Price_Model!$C$23+Price_Model!$C$22*LN(MAX(0.005,(US_BS!$G$8+US_BS!$G$6*$A31+US_BS!$G$10-(US_BS!$G$12+F$29+US_BS!$G$14+US_BS!$G$15))/(US_BS!$G$12+F$29+US_BS!$G$14+US_BS!$G$15)))</f>
        <v/>
      </c>
      <c r="G31" s="94">
        <f>Price_Model!$C$23+Price_Model!$C$22*LN(MAX(0.005,(US_BS!$G$8+US_BS!$G$6*$A31+US_BS!$G$10-(US_BS!$G$12+G$29+US_BS!$G$14+US_BS!$G$15))/(US_BS!$G$12+G$29+US_BS!$G$14+US_BS!$G$15)))</f>
        <v/>
      </c>
    </row>
    <row r="32" ht="15" customHeight="1" s="57">
      <c r="A32" s="75" t="n">
        <v>52.5</v>
      </c>
      <c r="B32" s="94">
        <f>Price_Model!$C$23+Price_Model!$C$22*LN(MAX(0.005,(US_BS!$G$8+US_BS!$G$6*$A32+US_BS!$G$10-(US_BS!$G$12+B$29+US_BS!$G$14+US_BS!$G$15))/(US_BS!$G$12+B$29+US_BS!$G$14+US_BS!$G$15)))</f>
        <v/>
      </c>
      <c r="C32" s="94">
        <f>Price_Model!$C$23+Price_Model!$C$22*LN(MAX(0.005,(US_BS!$G$8+US_BS!$G$6*$A32+US_BS!$G$10-(US_BS!$G$12+C$29+US_BS!$G$14+US_BS!$G$15))/(US_BS!$G$12+C$29+US_BS!$G$14+US_BS!$G$15)))</f>
        <v/>
      </c>
      <c r="D32" s="94">
        <f>Price_Model!$C$23+Price_Model!$C$22*LN(MAX(0.005,(US_BS!$G$8+US_BS!$G$6*$A32+US_BS!$G$10-(US_BS!$G$12+D$29+US_BS!$G$14+US_BS!$G$15))/(US_BS!$G$12+D$29+US_BS!$G$14+US_BS!$G$15)))</f>
        <v/>
      </c>
      <c r="E32" s="94">
        <f>Price_Model!$C$23+Price_Model!$C$22*LN(MAX(0.005,(US_BS!$G$8+US_BS!$G$6*$A32+US_BS!$G$10-(US_BS!$G$12+E$29+US_BS!$G$14+US_BS!$G$15))/(US_BS!$G$12+E$29+US_BS!$G$14+US_BS!$G$15)))</f>
        <v/>
      </c>
      <c r="F32" s="94">
        <f>Price_Model!$C$23+Price_Model!$C$22*LN(MAX(0.005,(US_BS!$G$8+US_BS!$G$6*$A32+US_BS!$G$10-(US_BS!$G$12+F$29+US_BS!$G$14+US_BS!$G$15))/(US_BS!$G$12+F$29+US_BS!$G$14+US_BS!$G$15)))</f>
        <v/>
      </c>
      <c r="G32" s="94">
        <f>Price_Model!$C$23+Price_Model!$C$22*LN(MAX(0.005,(US_BS!$G$8+US_BS!$G$6*$A32+US_BS!$G$10-(US_BS!$G$12+G$29+US_BS!$G$14+US_BS!$G$15))/(US_BS!$G$12+G$29+US_BS!$G$14+US_BS!$G$15)))</f>
        <v/>
      </c>
    </row>
    <row r="33" ht="15" customHeight="1" s="57">
      <c r="A33" s="75" t="n">
        <v>52.9</v>
      </c>
      <c r="B33" s="94">
        <f>Price_Model!$C$23+Price_Model!$C$22*LN(MAX(0.005,(US_BS!$G$8+US_BS!$G$6*$A33+US_BS!$G$10-(US_BS!$G$12+B$29+US_BS!$G$14+US_BS!$G$15))/(US_BS!$G$12+B$29+US_BS!$G$14+US_BS!$G$15)))</f>
        <v/>
      </c>
      <c r="C33" s="94">
        <f>Price_Model!$C$23+Price_Model!$C$22*LN(MAX(0.005,(US_BS!$G$8+US_BS!$G$6*$A33+US_BS!$G$10-(US_BS!$G$12+C$29+US_BS!$G$14+US_BS!$G$15))/(US_BS!$G$12+C$29+US_BS!$G$14+US_BS!$G$15)))</f>
        <v/>
      </c>
      <c r="D33" s="94">
        <f>Price_Model!$C$23+Price_Model!$C$22*LN(MAX(0.005,(US_BS!$G$8+US_BS!$G$6*$A33+US_BS!$G$10-(US_BS!$G$12+D$29+US_BS!$G$14+US_BS!$G$15))/(US_BS!$G$12+D$29+US_BS!$G$14+US_BS!$G$15)))</f>
        <v/>
      </c>
      <c r="E33" s="94">
        <f>Price_Model!$C$23+Price_Model!$C$22*LN(MAX(0.005,(US_BS!$G$8+US_BS!$G$6*$A33+US_BS!$G$10-(US_BS!$G$12+E$29+US_BS!$G$14+US_BS!$G$15))/(US_BS!$G$12+E$29+US_BS!$G$14+US_BS!$G$15)))</f>
        <v/>
      </c>
      <c r="F33" s="94">
        <f>Price_Model!$C$23+Price_Model!$C$22*LN(MAX(0.005,(US_BS!$G$8+US_BS!$G$6*$A33+US_BS!$G$10-(US_BS!$G$12+F$29+US_BS!$G$14+US_BS!$G$15))/(US_BS!$G$12+F$29+US_BS!$G$14+US_BS!$G$15)))</f>
        <v/>
      </c>
      <c r="G33" s="94">
        <f>Price_Model!$C$23+Price_Model!$C$22*LN(MAX(0.005,(US_BS!$G$8+US_BS!$G$6*$A33+US_BS!$G$10-(US_BS!$G$12+G$29+US_BS!$G$14+US_BS!$G$15))/(US_BS!$G$12+G$29+US_BS!$G$14+US_BS!$G$15)))</f>
        <v/>
      </c>
    </row>
    <row r="34" ht="15" customHeight="1" s="57">
      <c r="A34" s="75" t="n">
        <v>53.1</v>
      </c>
      <c r="B34" s="94">
        <f>Price_Model!$C$23+Price_Model!$C$22*LN(MAX(0.005,(US_BS!$G$8+US_BS!$G$6*$A34+US_BS!$G$10-(US_BS!$G$12+B$29+US_BS!$G$14+US_BS!$G$15))/(US_BS!$G$12+B$29+US_BS!$G$14+US_BS!$G$15)))</f>
        <v/>
      </c>
      <c r="C34" s="94">
        <f>Price_Model!$C$23+Price_Model!$C$22*LN(MAX(0.005,(US_BS!$G$8+US_BS!$G$6*$A34+US_BS!$G$10-(US_BS!$G$12+C$29+US_BS!$G$14+US_BS!$G$15))/(US_BS!$G$12+C$29+US_BS!$G$14+US_BS!$G$15)))</f>
        <v/>
      </c>
      <c r="D34" s="94">
        <f>Price_Model!$C$23+Price_Model!$C$22*LN(MAX(0.005,(US_BS!$G$8+US_BS!$G$6*$A34+US_BS!$G$10-(US_BS!$G$12+D$29+US_BS!$G$14+US_BS!$G$15))/(US_BS!$G$12+D$29+US_BS!$G$14+US_BS!$G$15)))</f>
        <v/>
      </c>
      <c r="E34" s="94">
        <f>Price_Model!$C$23+Price_Model!$C$22*LN(MAX(0.005,(US_BS!$G$8+US_BS!$G$6*$A34+US_BS!$G$10-(US_BS!$G$12+E$29+US_BS!$G$14+US_BS!$G$15))/(US_BS!$G$12+E$29+US_BS!$G$14+US_BS!$G$15)))</f>
        <v/>
      </c>
      <c r="F34" s="94">
        <f>Price_Model!$C$23+Price_Model!$C$22*LN(MAX(0.005,(US_BS!$G$8+US_BS!$G$6*$A34+US_BS!$G$10-(US_BS!$G$12+F$29+US_BS!$G$14+US_BS!$G$15))/(US_BS!$G$12+F$29+US_BS!$G$14+US_BS!$G$15)))</f>
        <v/>
      </c>
      <c r="G34" s="94">
        <f>Price_Model!$C$23+Price_Model!$C$22*LN(MAX(0.005,(US_BS!$G$8+US_BS!$G$6*$A34+US_BS!$G$10-(US_BS!$G$12+G$29+US_BS!$G$14+US_BS!$G$15))/(US_BS!$G$12+G$29+US_BS!$G$14+US_BS!$G$15)))</f>
        <v/>
      </c>
    </row>
    <row r="35" ht="15" customHeight="1" s="57">
      <c r="A35" s="75" t="n">
        <v>53.5</v>
      </c>
      <c r="B35" s="94">
        <f>Price_Model!$C$23+Price_Model!$C$22*LN(MAX(0.005,(US_BS!$G$8+US_BS!$G$6*$A35+US_BS!$G$10-(US_BS!$G$12+B$29+US_BS!$G$14+US_BS!$G$15))/(US_BS!$G$12+B$29+US_BS!$G$14+US_BS!$G$15)))</f>
        <v/>
      </c>
      <c r="C35" s="94">
        <f>Price_Model!$C$23+Price_Model!$C$22*LN(MAX(0.005,(US_BS!$G$8+US_BS!$G$6*$A35+US_BS!$G$10-(US_BS!$G$12+C$29+US_BS!$G$14+US_BS!$G$15))/(US_BS!$G$12+C$29+US_BS!$G$14+US_BS!$G$15)))</f>
        <v/>
      </c>
      <c r="D35" s="94">
        <f>Price_Model!$C$23+Price_Model!$C$22*LN(MAX(0.005,(US_BS!$G$8+US_BS!$G$6*$A35+US_BS!$G$10-(US_BS!$G$12+D$29+US_BS!$G$14+US_BS!$G$15))/(US_BS!$G$12+D$29+US_BS!$G$14+US_BS!$G$15)))</f>
        <v/>
      </c>
      <c r="E35" s="94">
        <f>Price_Model!$C$23+Price_Model!$C$22*LN(MAX(0.005,(US_BS!$G$8+US_BS!$G$6*$A35+US_BS!$G$10-(US_BS!$G$12+E$29+US_BS!$G$14+US_BS!$G$15))/(US_BS!$G$12+E$29+US_BS!$G$14+US_BS!$G$15)))</f>
        <v/>
      </c>
      <c r="F35" s="94">
        <f>Price_Model!$C$23+Price_Model!$C$22*LN(MAX(0.005,(US_BS!$G$8+US_BS!$G$6*$A35+US_BS!$G$10-(US_BS!$G$12+F$29+US_BS!$G$14+US_BS!$G$15))/(US_BS!$G$12+F$29+US_BS!$G$14+US_BS!$G$15)))</f>
        <v/>
      </c>
      <c r="G35" s="94">
        <f>Price_Model!$C$23+Price_Model!$C$22*LN(MAX(0.005,(US_BS!$G$8+US_BS!$G$6*$A35+US_BS!$G$10-(US_BS!$G$12+G$29+US_BS!$G$14+US_BS!$G$15))/(US_BS!$G$12+G$29+US_BS!$G$14+US_BS!$G$15)))</f>
        <v/>
      </c>
    </row>
    <row r="36" ht="15" customHeight="1" s="57">
      <c r="A36" s="75" t="n">
        <v>54</v>
      </c>
      <c r="B36" s="94">
        <f>Price_Model!$C$23+Price_Model!$C$22*LN(MAX(0.005,(US_BS!$G$8+US_BS!$G$6*$A36+US_BS!$G$10-(US_BS!$G$12+B$29+US_BS!$G$14+US_BS!$G$15))/(US_BS!$G$12+B$29+US_BS!$G$14+US_BS!$G$15)))</f>
        <v/>
      </c>
      <c r="C36" s="94">
        <f>Price_Model!$C$23+Price_Model!$C$22*LN(MAX(0.005,(US_BS!$G$8+US_BS!$G$6*$A36+US_BS!$G$10-(US_BS!$G$12+C$29+US_BS!$G$14+US_BS!$G$15))/(US_BS!$G$12+C$29+US_BS!$G$14+US_BS!$G$15)))</f>
        <v/>
      </c>
      <c r="D36" s="94">
        <f>Price_Model!$C$23+Price_Model!$C$22*LN(MAX(0.005,(US_BS!$G$8+US_BS!$G$6*$A36+US_BS!$G$10-(US_BS!$G$12+D$29+US_BS!$G$14+US_BS!$G$15))/(US_BS!$G$12+D$29+US_BS!$G$14+US_BS!$G$15)))</f>
        <v/>
      </c>
      <c r="E36" s="94">
        <f>Price_Model!$C$23+Price_Model!$C$22*LN(MAX(0.005,(US_BS!$G$8+US_BS!$G$6*$A36+US_BS!$G$10-(US_BS!$G$12+E$29+US_BS!$G$14+US_BS!$G$15))/(US_BS!$G$12+E$29+US_BS!$G$14+US_BS!$G$15)))</f>
        <v/>
      </c>
      <c r="F36" s="94">
        <f>Price_Model!$C$23+Price_Model!$C$22*LN(MAX(0.005,(US_BS!$G$8+US_BS!$G$6*$A36+US_BS!$G$10-(US_BS!$G$12+F$29+US_BS!$G$14+US_BS!$G$15))/(US_BS!$G$12+F$29+US_BS!$G$14+US_BS!$G$15)))</f>
        <v/>
      </c>
      <c r="G36" s="94">
        <f>Price_Model!$C$23+Price_Model!$C$22*LN(MAX(0.005,(US_BS!$G$8+US_BS!$G$6*$A36+US_BS!$G$10-(US_BS!$G$12+G$29+US_BS!$G$14+US_BS!$G$15))/(US_BS!$G$12+G$29+US_BS!$G$14+US_BS!$G$15)))</f>
        <v/>
      </c>
    </row>
    <row r="37" ht="15" customHeight="1" s="57">
      <c r="A37" s="75" t="n">
        <v>54.5</v>
      </c>
      <c r="B37" s="94">
        <f>Price_Model!$C$23+Price_Model!$C$22*LN(MAX(0.005,(US_BS!$G$8+US_BS!$G$6*$A37+US_BS!$G$10-(US_BS!$G$12+B$29+US_BS!$G$14+US_BS!$G$15))/(US_BS!$G$12+B$29+US_BS!$G$14+US_BS!$G$15)))</f>
        <v/>
      </c>
      <c r="C37" s="94">
        <f>Price_Model!$C$23+Price_Model!$C$22*LN(MAX(0.005,(US_BS!$G$8+US_BS!$G$6*$A37+US_BS!$G$10-(US_BS!$G$12+C$29+US_BS!$G$14+US_BS!$G$15))/(US_BS!$G$12+C$29+US_BS!$G$14+US_BS!$G$15)))</f>
        <v/>
      </c>
      <c r="D37" s="94">
        <f>Price_Model!$C$23+Price_Model!$C$22*LN(MAX(0.005,(US_BS!$G$8+US_BS!$G$6*$A37+US_BS!$G$10-(US_BS!$G$12+D$29+US_BS!$G$14+US_BS!$G$15))/(US_BS!$G$12+D$29+US_BS!$G$14+US_BS!$G$15)))</f>
        <v/>
      </c>
      <c r="E37" s="94">
        <f>Price_Model!$C$23+Price_Model!$C$22*LN(MAX(0.005,(US_BS!$G$8+US_BS!$G$6*$A37+US_BS!$G$10-(US_BS!$G$12+E$29+US_BS!$G$14+US_BS!$G$15))/(US_BS!$G$12+E$29+US_BS!$G$14+US_BS!$G$15)))</f>
        <v/>
      </c>
      <c r="F37" s="94">
        <f>Price_Model!$C$23+Price_Model!$C$22*LN(MAX(0.005,(US_BS!$G$8+US_BS!$G$6*$A37+US_BS!$G$10-(US_BS!$G$12+F$29+US_BS!$G$14+US_BS!$G$15))/(US_BS!$G$12+F$29+US_BS!$G$14+US_BS!$G$15)))</f>
        <v/>
      </c>
      <c r="G37" s="94">
        <f>Price_Model!$C$23+Price_Model!$C$22*LN(MAX(0.005,(US_BS!$G$8+US_BS!$G$6*$A37+US_BS!$G$10-(US_BS!$G$12+G$29+US_BS!$G$14+US_BS!$G$15))/(US_BS!$G$12+G$29+US_BS!$G$14+US_BS!$G$15)))</f>
        <v/>
      </c>
    </row>
    <row r="39" ht="15" customHeight="1" s="57">
      <c r="A39" s="59" t="inlineStr">
        <is>
          <t>USDA Oct = 53.1 bpa / 1,695 mb exports. House = 52.9 / 1,745. Sensitivity: 1 bpa ~ 86 mb; 50 mb exports ~ 1.1 pts S/U.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G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56" min="1" max="1"/>
    <col width="13" customWidth="1" style="56" min="2" max="7"/>
  </cols>
  <sheetData>
    <row r="1" ht="17.35" customHeight="1" s="57">
      <c r="A1" s="58" t="inlineStr">
        <is>
          <t>BOARD CRUSH MARGIN</t>
        </is>
      </c>
    </row>
    <row r="2" ht="15" customHeight="1" s="57">
      <c r="A2" s="59" t="inlineStr">
        <is>
          <t>Board crush = meal x 44/2000 + oil x 11/100 - soybeans. Products Dec-26 vs beans Nov-26 (update prices on Inputs).</t>
        </is>
      </c>
    </row>
    <row r="4" ht="15" customHeight="1" s="57">
      <c r="A4" s="61" t="inlineStr">
        <is>
          <t>Soybean meal ($/short ton)</t>
        </is>
      </c>
      <c r="B4" s="95">
        <f>Inputs!$B$26</f>
        <v/>
      </c>
    </row>
    <row r="5" ht="15" customHeight="1" s="57">
      <c r="A5" s="61" t="inlineStr">
        <is>
          <t>Meal yield (lb/bu)</t>
        </is>
      </c>
      <c r="B5" s="110">
        <f>Inputs!$B$33</f>
        <v/>
      </c>
    </row>
    <row r="6" ht="15" customHeight="1" s="57">
      <c r="A6" s="61" t="inlineStr">
        <is>
          <t>Meal value ($/bu)</t>
        </is>
      </c>
      <c r="B6" s="94">
        <f>B4*B5/2000</f>
        <v/>
      </c>
    </row>
    <row r="7" ht="15" customHeight="1" s="57">
      <c r="A7" s="61" t="inlineStr">
        <is>
          <t>Soybean oil (c/lb)</t>
        </is>
      </c>
      <c r="B7" s="95">
        <f>Inputs!$B$27</f>
        <v/>
      </c>
    </row>
    <row r="8" ht="15" customHeight="1" s="57">
      <c r="A8" s="61" t="inlineStr">
        <is>
          <t>Oil yield (lb/bu)</t>
        </is>
      </c>
      <c r="B8" s="110">
        <f>Inputs!$B$34</f>
        <v/>
      </c>
    </row>
    <row r="9" ht="15" customHeight="1" s="57">
      <c r="A9" s="61" t="inlineStr">
        <is>
          <t>Oil value ($/bu)</t>
        </is>
      </c>
      <c r="B9" s="94">
        <f>B7*B8/100</f>
        <v/>
      </c>
    </row>
    <row r="10" ht="15" customHeight="1" s="57">
      <c r="A10" s="61" t="inlineStr">
        <is>
          <t>Gross product value ($/bu)</t>
        </is>
      </c>
      <c r="B10" s="94">
        <f>B6+B9</f>
        <v/>
      </c>
    </row>
    <row r="11" ht="15" customHeight="1" s="57">
      <c r="A11" s="61" t="inlineStr">
        <is>
          <t>Soybeans Nov-26 ($/bu)</t>
        </is>
      </c>
      <c r="B11" s="95">
        <f>Inputs!$B$23/100</f>
        <v/>
      </c>
    </row>
    <row r="12" ht="15" customHeight="1" s="57">
      <c r="A12" s="61" t="inlineStr">
        <is>
          <t>BOARD CRUSH MARGIN ($/bu)</t>
        </is>
      </c>
      <c r="B12" s="94">
        <f>B10-B11</f>
        <v/>
      </c>
      <c r="C12" s="59" t="inlineStr">
        <is>
          <t>Reference: ~$1.00-1.50/bu typical; &gt;$2.00 = strong incentive to run plants at capacity (supports House crush +40 mb).</t>
        </is>
      </c>
    </row>
    <row r="13" ht="15" customHeight="1" s="57">
      <c r="A13" s="61" t="inlineStr">
        <is>
          <t>Oil share of product value</t>
        </is>
      </c>
      <c r="B13" s="92">
        <f>B9/B10</f>
        <v/>
      </c>
    </row>
    <row r="16" ht="15" customHeight="1" s="57">
      <c r="A16" s="60" t="inlineStr">
        <is>
          <t>Sensitivity: margin ($/bu) - rows oil (c/lb), columns meal ($/st); beans at Inputs</t>
        </is>
      </c>
    </row>
    <row r="17" ht="15" customHeight="1" s="57">
      <c r="A17" s="71" t="inlineStr">
        <is>
          <t>Oil \ Meal</t>
        </is>
      </c>
      <c r="B17" s="109" t="n">
        <v>320</v>
      </c>
      <c r="C17" s="109" t="n">
        <v>335</v>
      </c>
      <c r="D17" s="109" t="n">
        <v>350</v>
      </c>
      <c r="E17" s="109" t="n">
        <v>355</v>
      </c>
      <c r="F17" s="109" t="n">
        <v>365</v>
      </c>
      <c r="G17" s="109" t="n">
        <v>380</v>
      </c>
    </row>
    <row r="18" ht="15" customHeight="1" s="57">
      <c r="A18" s="77" t="n">
        <v>60</v>
      </c>
      <c r="B18" s="94">
        <f>B$17*$B$5/2000+$A18*$B$8/100-$B$11</f>
        <v/>
      </c>
      <c r="C18" s="94">
        <f>C$17*$B$5/2000+$A18*$B$8/100-$B$11</f>
        <v/>
      </c>
      <c r="D18" s="94">
        <f>D$17*$B$5/2000+$A18*$B$8/100-$B$11</f>
        <v/>
      </c>
      <c r="E18" s="94">
        <f>E$17*$B$5/2000+$A18*$B$8/100-$B$11</f>
        <v/>
      </c>
      <c r="F18" s="94">
        <f>F$17*$B$5/2000+$A18*$B$8/100-$B$11</f>
        <v/>
      </c>
      <c r="G18" s="94">
        <f>G$17*$B$5/2000+$A18*$B$8/100-$B$11</f>
        <v/>
      </c>
    </row>
    <row r="19" ht="15" customHeight="1" s="57">
      <c r="A19" s="77" t="n">
        <v>64</v>
      </c>
      <c r="B19" s="94">
        <f>B$17*$B$5/2000+$A19*$B$8/100-$B$11</f>
        <v/>
      </c>
      <c r="C19" s="94">
        <f>C$17*$B$5/2000+$A19*$B$8/100-$B$11</f>
        <v/>
      </c>
      <c r="D19" s="94">
        <f>D$17*$B$5/2000+$A19*$B$8/100-$B$11</f>
        <v/>
      </c>
      <c r="E19" s="94">
        <f>E$17*$B$5/2000+$A19*$B$8/100-$B$11</f>
        <v/>
      </c>
      <c r="F19" s="94">
        <f>F$17*$B$5/2000+$A19*$B$8/100-$B$11</f>
        <v/>
      </c>
      <c r="G19" s="94">
        <f>G$17*$B$5/2000+$A19*$B$8/100-$B$11</f>
        <v/>
      </c>
    </row>
    <row r="20" ht="15" customHeight="1" s="57">
      <c r="A20" s="77" t="n">
        <v>68</v>
      </c>
      <c r="B20" s="94">
        <f>B$17*$B$5/2000+$A20*$B$8/100-$B$11</f>
        <v/>
      </c>
      <c r="C20" s="94">
        <f>C$17*$B$5/2000+$A20*$B$8/100-$B$11</f>
        <v/>
      </c>
      <c r="D20" s="94">
        <f>D$17*$B$5/2000+$A20*$B$8/100-$B$11</f>
        <v/>
      </c>
      <c r="E20" s="94">
        <f>E$17*$B$5/2000+$A20*$B$8/100-$B$11</f>
        <v/>
      </c>
      <c r="F20" s="94">
        <f>F$17*$B$5/2000+$A20*$B$8/100-$B$11</f>
        <v/>
      </c>
      <c r="G20" s="94">
        <f>G$17*$B$5/2000+$A20*$B$8/100-$B$11</f>
        <v/>
      </c>
    </row>
    <row r="21" ht="15" customHeight="1" s="57">
      <c r="A21" s="77" t="n">
        <v>70</v>
      </c>
      <c r="B21" s="94">
        <f>B$17*$B$5/2000+$A21*$B$8/100-$B$11</f>
        <v/>
      </c>
      <c r="C21" s="94">
        <f>C$17*$B$5/2000+$A21*$B$8/100-$B$11</f>
        <v/>
      </c>
      <c r="D21" s="94">
        <f>D$17*$B$5/2000+$A21*$B$8/100-$B$11</f>
        <v/>
      </c>
      <c r="E21" s="94">
        <f>E$17*$B$5/2000+$A21*$B$8/100-$B$11</f>
        <v/>
      </c>
      <c r="F21" s="94">
        <f>F$17*$B$5/2000+$A21*$B$8/100-$B$11</f>
        <v/>
      </c>
      <c r="G21" s="94">
        <f>G$17*$B$5/2000+$A21*$B$8/100-$B$11</f>
        <v/>
      </c>
    </row>
    <row r="22" ht="15" customHeight="1" s="57">
      <c r="A22" s="77" t="n">
        <v>72</v>
      </c>
      <c r="B22" s="94">
        <f>B$17*$B$5/2000+$A22*$B$8/100-$B$11</f>
        <v/>
      </c>
      <c r="C22" s="94">
        <f>C$17*$B$5/2000+$A22*$B$8/100-$B$11</f>
        <v/>
      </c>
      <c r="D22" s="94">
        <f>D$17*$B$5/2000+$A22*$B$8/100-$B$11</f>
        <v/>
      </c>
      <c r="E22" s="94">
        <f>E$17*$B$5/2000+$A22*$B$8/100-$B$11</f>
        <v/>
      </c>
      <c r="F22" s="94">
        <f>F$17*$B$5/2000+$A22*$B$8/100-$B$11</f>
        <v/>
      </c>
      <c r="G22" s="94">
        <f>G$17*$B$5/2000+$A22*$B$8/100-$B$11</f>
        <v/>
      </c>
    </row>
    <row r="23" ht="15" customHeight="1" s="57">
      <c r="A23" s="77" t="n">
        <v>76</v>
      </c>
      <c r="B23" s="94">
        <f>B$17*$B$5/2000+$A23*$B$8/100-$B$11</f>
        <v/>
      </c>
      <c r="C23" s="94">
        <f>C$17*$B$5/2000+$A23*$B$8/100-$B$11</f>
        <v/>
      </c>
      <c r="D23" s="94">
        <f>D$17*$B$5/2000+$A23*$B$8/100-$B$11</f>
        <v/>
      </c>
      <c r="E23" s="94">
        <f>E$17*$B$5/2000+$A23*$B$8/100-$B$11</f>
        <v/>
      </c>
      <c r="F23" s="94">
        <f>F$17*$B$5/2000+$A23*$B$8/100-$B$11</f>
        <v/>
      </c>
      <c r="G23" s="94">
        <f>G$17*$B$5/2000+$A23*$B$8/100-$B$11</f>
        <v/>
      </c>
    </row>
    <row r="24" ht="15" customHeight="1" s="57">
      <c r="A24" s="77" t="n">
        <v>80</v>
      </c>
      <c r="B24" s="94">
        <f>B$17*$B$5/2000+$A24*$B$8/100-$B$11</f>
        <v/>
      </c>
      <c r="C24" s="94">
        <f>C$17*$B$5/2000+$A24*$B$8/100-$B$11</f>
        <v/>
      </c>
      <c r="D24" s="94">
        <f>D$17*$B$5/2000+$A24*$B$8/100-$B$11</f>
        <v/>
      </c>
      <c r="E24" s="94">
        <f>E$17*$B$5/2000+$A24*$B$8/100-$B$11</f>
        <v/>
      </c>
      <c r="F24" s="94">
        <f>F$17*$B$5/2000+$A24*$B$8/100-$B$11</f>
        <v/>
      </c>
      <c r="G24" s="94">
        <f>G$17*$B$5/2000+$A24*$B$8/100-$B$11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I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0" customWidth="1" style="56" min="1" max="1"/>
    <col width="14" customWidth="1" style="56" min="2" max="2"/>
    <col width="13" customWidth="1" style="56" min="3" max="3"/>
    <col width="20" customWidth="1" style="56" min="4" max="4"/>
    <col width="8" customWidth="1" style="56" min="5" max="5"/>
    <col width="12" customWidth="1" style="56" min="6" max="6"/>
    <col width="13" customWidth="1" style="56" min="7" max="8"/>
    <col width="14" customWidth="1" style="56" min="9" max="9"/>
  </cols>
  <sheetData>
    <row r="1" ht="17.35" customHeight="1" s="57">
      <c r="A1" s="58" t="inlineStr">
        <is>
          <t>CALENDAR SPREADS vs FULL CARRY + OLD/NEW-CROP BULL SPREAD</t>
        </is>
      </c>
    </row>
    <row r="2" ht="15" customHeight="1" s="57">
      <c r="A2" s="59" t="inlineStr">
        <is>
          <t>Full carry = storage x days + financing on front-month value. % of full carry near 100% = ample stocks; falling % / inversion = tightness.</t>
        </is>
      </c>
    </row>
    <row r="4" ht="15" customHeight="1" s="57">
      <c r="A4" s="70" t="inlineStr">
        <is>
          <t>Spread</t>
        </is>
      </c>
      <c r="B4" s="70" t="inlineStr">
        <is>
          <t>Front (c/bu)</t>
        </is>
      </c>
      <c r="C4" s="70" t="inlineStr">
        <is>
          <t>Back (c/bu)</t>
        </is>
      </c>
      <c r="D4" s="70" t="inlineStr">
        <is>
          <t>Spread back-front (c)</t>
        </is>
      </c>
      <c r="E4" s="70" t="inlineStr">
        <is>
          <t>Days</t>
        </is>
      </c>
      <c r="F4" s="70" t="inlineStr">
        <is>
          <t>Storage (c)</t>
        </is>
      </c>
      <c r="G4" s="70" t="inlineStr">
        <is>
          <t>Financing (c)</t>
        </is>
      </c>
      <c r="H4" s="70" t="inlineStr">
        <is>
          <t>Full carry (c)</t>
        </is>
      </c>
      <c r="I4" s="70" t="inlineStr">
        <is>
          <t>% of full carry</t>
        </is>
      </c>
    </row>
    <row r="5" ht="15" customHeight="1" s="57">
      <c r="A5" s="61" t="inlineStr">
        <is>
          <t>Nov-26 / Jan-27</t>
        </is>
      </c>
      <c r="B5" s="95">
        <f>Inputs!$B$23</f>
        <v/>
      </c>
      <c r="C5" s="95">
        <f>Inputs!$B$24</f>
        <v/>
      </c>
      <c r="D5" s="94">
        <f>C5-B5</f>
        <v/>
      </c>
      <c r="E5" s="110">
        <f>Inputs!$B$30</f>
        <v/>
      </c>
      <c r="F5" s="94">
        <f>Inputs!$B$28*E5</f>
        <v/>
      </c>
      <c r="G5" s="94">
        <f>B5*Inputs!$B$29*E5/365</f>
        <v/>
      </c>
      <c r="H5" s="94">
        <f>F5+G5</f>
        <v/>
      </c>
      <c r="I5" s="91">
        <f>IF(H5=0,0,D5/H5)</f>
        <v/>
      </c>
    </row>
    <row r="6" ht="15" customHeight="1" s="57">
      <c r="A6" s="61" t="inlineStr">
        <is>
          <t>Jan-27 / Mar-27</t>
        </is>
      </c>
      <c r="B6" s="95">
        <f>Inputs!$B$24</f>
        <v/>
      </c>
      <c r="C6" s="95">
        <f>Inputs!$B$25</f>
        <v/>
      </c>
      <c r="D6" s="94">
        <f>C6-B6</f>
        <v/>
      </c>
      <c r="E6" s="110">
        <f>Inputs!$B$31</f>
        <v/>
      </c>
      <c r="F6" s="94">
        <f>Inputs!$B$28*E6</f>
        <v/>
      </c>
      <c r="G6" s="94">
        <f>B6*Inputs!$B$29*E6/365</f>
        <v/>
      </c>
      <c r="H6" s="94">
        <f>F6+G6</f>
        <v/>
      </c>
      <c r="I6" s="91">
        <f>IF(H6=0,0,D6/H6)</f>
        <v/>
      </c>
    </row>
    <row r="9" ht="15" customHeight="1" s="57">
      <c r="A9" s="111" t="inlineStr">
        <is>
          <t>Read: % of full carry near 100% = ample stocks; a falling % or an inversion signals nearby tightness. House S/U ~4.5% (vs USDA 6.9%) would be consistent with the post-harvest carry narrowing.</t>
        </is>
      </c>
      <c r="B9" s="112" t="n"/>
      <c r="C9" s="112" t="n"/>
      <c r="D9" s="112" t="n"/>
      <c r="E9" s="112" t="n"/>
      <c r="F9" s="112" t="n"/>
      <c r="G9" s="112" t="n"/>
      <c r="H9" s="112" t="n"/>
      <c r="I9" s="112" t="n"/>
    </row>
    <row r="10" ht="15" customHeight="1" s="57">
      <c r="A10" s="113" t="n"/>
      <c r="B10" s="114" t="n"/>
      <c r="C10" s="112" t="n"/>
      <c r="D10" s="112" t="n"/>
      <c r="E10" s="112" t="n"/>
      <c r="F10" s="112" t="n"/>
      <c r="G10" s="112" t="n"/>
      <c r="H10" s="112" t="n"/>
      <c r="I10" s="112" t="n"/>
    </row>
    <row r="11" ht="15" customHeight="1" s="57">
      <c r="A11" s="113" t="n"/>
      <c r="B11" s="115" t="n"/>
      <c r="C11" s="112" t="n"/>
      <c r="D11" s="112" t="n"/>
      <c r="E11" s="112" t="n"/>
      <c r="F11" s="112" t="n"/>
      <c r="G11" s="112" t="n"/>
      <c r="H11" s="112" t="n"/>
      <c r="I11" s="112" t="n"/>
    </row>
    <row r="12" ht="15" customHeight="1" s="57">
      <c r="A12" s="113" t="n"/>
      <c r="B12" s="114" t="n"/>
      <c r="C12" s="112" t="n"/>
      <c r="D12" s="112" t="n"/>
      <c r="E12" s="112" t="n"/>
      <c r="F12" s="112" t="n"/>
      <c r="G12" s="112" t="n"/>
      <c r="H12" s="112" t="n"/>
      <c r="I12" s="112" t="n"/>
    </row>
    <row r="13" ht="15" customHeight="1" s="57">
      <c r="A13" s="113" t="n"/>
      <c r="B13" s="114" t="n"/>
      <c r="C13" s="112" t="n"/>
      <c r="D13" s="112" t="n"/>
      <c r="E13" s="112" t="n"/>
      <c r="F13" s="112" t="n"/>
      <c r="G13" s="112" t="n"/>
      <c r="H13" s="112" t="n"/>
      <c r="I13" s="112" t="n"/>
    </row>
    <row r="14" ht="15" customHeight="1" s="57">
      <c r="A14" s="113" t="n"/>
      <c r="B14" s="114" t="n"/>
      <c r="C14" s="112" t="n"/>
      <c r="D14" s="112" t="n"/>
      <c r="E14" s="112" t="n"/>
      <c r="F14" s="112" t="n"/>
      <c r="G14" s="112" t="n"/>
      <c r="H14" s="112" t="n"/>
      <c r="I14" s="112" t="n"/>
    </row>
    <row r="15" ht="15" customHeight="1" s="57">
      <c r="A15" s="113" t="n"/>
      <c r="B15" s="115" t="n"/>
      <c r="C15" s="112" t="n"/>
      <c r="D15" s="112" t="n"/>
      <c r="E15" s="112" t="n"/>
      <c r="F15" s="112" t="n"/>
      <c r="G15" s="112" t="n"/>
      <c r="H15" s="112" t="n"/>
      <c r="I15" s="112" t="n"/>
    </row>
    <row r="16" ht="15" customHeight="1" s="57">
      <c r="A16" s="113" t="n"/>
      <c r="B16" s="115" t="n"/>
      <c r="C16" s="112" t="n"/>
      <c r="D16" s="112" t="n"/>
      <c r="E16" s="112" t="n"/>
      <c r="F16" s="112" t="n"/>
      <c r="G16" s="112" t="n"/>
      <c r="H16" s="112" t="n"/>
      <c r="I16" s="112" t="n"/>
    </row>
    <row r="17" ht="15" customHeight="1" s="57">
      <c r="A17" s="113" t="n"/>
      <c r="B17" s="115" t="n"/>
      <c r="C17" s="112" t="n"/>
      <c r="D17" s="112" t="n"/>
      <c r="E17" s="112" t="n"/>
      <c r="F17" s="112" t="n"/>
      <c r="G17" s="112" t="n"/>
      <c r="H17" s="112" t="n"/>
      <c r="I17" s="112" t="n"/>
    </row>
    <row r="18" ht="15" customHeight="1" s="57">
      <c r="A18" s="113" t="n"/>
      <c r="B18" s="115" t="n"/>
      <c r="C18" s="112" t="n"/>
      <c r="D18" s="112" t="n"/>
      <c r="E18" s="112" t="n"/>
      <c r="F18" s="112" t="n"/>
      <c r="G18" s="112" t="n"/>
      <c r="H18" s="112" t="n"/>
      <c r="I18" s="112" t="n"/>
    </row>
    <row r="19" ht="15" customHeight="1" s="57">
      <c r="A19" s="113" t="n"/>
      <c r="B19" s="116" t="n"/>
      <c r="C19" s="112" t="n"/>
      <c r="D19" s="112" t="n"/>
      <c r="E19" s="112" t="n"/>
      <c r="F19" s="112" t="n"/>
      <c r="G19" s="112" t="n"/>
      <c r="H19" s="112" t="n"/>
      <c r="I19" s="112" t="n"/>
    </row>
    <row r="20" ht="15" customHeight="1" s="57">
      <c r="A20" s="113" t="n"/>
      <c r="B20" s="113" t="n"/>
      <c r="C20" s="112" t="n"/>
      <c r="D20" s="112" t="n"/>
      <c r="E20" s="112" t="n"/>
      <c r="F20" s="112" t="n"/>
      <c r="G20" s="112" t="n"/>
      <c r="H20" s="112" t="n"/>
      <c r="I20" s="112" t="n"/>
    </row>
    <row r="21">
      <c r="A21" s="112" t="n"/>
      <c r="B21" s="112" t="n"/>
      <c r="C21" s="112" t="n"/>
      <c r="D21" s="112" t="n"/>
      <c r="E21" s="112" t="n"/>
      <c r="F21" s="112" t="n"/>
      <c r="G21" s="112" t="n"/>
      <c r="H21" s="112" t="n"/>
      <c r="I21" s="112" t="n"/>
    </row>
    <row r="22" ht="15" customHeight="1" s="57">
      <c r="A22" s="113" t="n"/>
      <c r="B22" s="112" t="n"/>
      <c r="C22" s="112" t="n"/>
      <c r="D22" s="112" t="n"/>
      <c r="E22" s="112" t="n"/>
      <c r="F22" s="112" t="n"/>
      <c r="G22" s="112" t="n"/>
      <c r="H22" s="112" t="n"/>
      <c r="I22" s="112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E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56" min="1" max="1"/>
    <col width="42" customWidth="1" style="56" min="2" max="2"/>
    <col width="46" customWidth="1" style="56" min="3" max="3"/>
    <col width="18" customWidth="1" style="56" min="4" max="4"/>
    <col width="95" customWidth="1" style="56" min="5" max="5"/>
  </cols>
  <sheetData>
    <row r="1" ht="17.35" customHeight="1" s="57">
      <c r="A1" s="58" t="inlineStr">
        <is>
          <t>SOURCES &amp; UPDATE CALENDAR</t>
        </is>
      </c>
    </row>
    <row r="2" ht="15" customHeight="1" s="57">
      <c r="A2" s="59" t="inlineStr">
        <is>
          <t>IDs referenced in Inputs / sheet notes as [Sx].</t>
        </is>
      </c>
    </row>
    <row r="4" ht="15" customHeight="1" s="57">
      <c r="A4" s="70" t="inlineStr">
        <is>
          <t>ID</t>
        </is>
      </c>
      <c r="B4" s="70" t="inlineStr">
        <is>
          <t>Source</t>
        </is>
      </c>
      <c r="C4" s="70" t="inlineStr">
        <is>
          <t>Used for</t>
        </is>
      </c>
      <c r="D4" s="70" t="inlineStr">
        <is>
          <t>Date / vintage</t>
        </is>
      </c>
      <c r="E4" s="70" t="inlineStr">
        <is>
          <t>Link</t>
        </is>
      </c>
    </row>
    <row r="5" ht="15" customHeight="1" s="57">
      <c r="A5" s="61" t="inlineStr">
        <is>
          <t>S1</t>
        </is>
      </c>
      <c r="B5" s="61" t="inlineStr">
        <is>
          <t>USDA WAOB - WASDE No. 676</t>
        </is>
      </c>
      <c r="C5" s="61" t="inlineStr">
        <is>
          <t>US soybean balance sheet (Sep &amp; Oct-26), products</t>
        </is>
      </c>
      <c r="D5" s="61" t="inlineStr">
        <is>
          <t>9-Oct-2026</t>
        </is>
      </c>
      <c r="E5" s="117" t="inlineStr">
        <is>
          <t>https://www.usda.gov/oce/commodity/wasde/wasde1026.pdf</t>
        </is>
      </c>
    </row>
    <row r="6" ht="15" customHeight="1" s="57">
      <c r="A6" s="61" t="inlineStr">
        <is>
          <t>S2</t>
        </is>
      </c>
      <c r="B6" s="61" t="inlineStr">
        <is>
          <t>USDA FAS - Oilseeds: World Markets and Trade</t>
        </is>
      </c>
      <c r="C6" s="61" t="inlineStr">
        <is>
          <t>World &amp; country soybean S&amp;D (Table 07, Table 16)</t>
        </is>
      </c>
      <c r="D6" s="61" t="inlineStr">
        <is>
          <t>Oct-2026</t>
        </is>
      </c>
      <c r="E6" s="117" t="inlineStr">
        <is>
          <t>https://apps.fas.usda.gov/psdonline/circulars/oilseeds.pdf</t>
        </is>
      </c>
    </row>
    <row r="7" ht="15" customHeight="1" s="57">
      <c r="A7" s="61" t="inlineStr">
        <is>
          <t>S3</t>
        </is>
      </c>
      <c r="B7" s="61" t="inlineStr">
        <is>
          <t>USDA NASS - Grain Stocks</t>
        </is>
      </c>
      <c r="C7" s="61" t="inlineStr">
        <is>
          <t>Sep-1-2026 soybean stocks 315 mb</t>
        </is>
      </c>
      <c r="D7" s="61" t="inlineStr">
        <is>
          <t>30-Sep-2026</t>
        </is>
      </c>
      <c r="E7" s="117" t="inlineStr">
        <is>
          <t>https://www.dtnpf.com/agriculture/web/ag/news/article/2026/09/30/usda-releases-quarterly-grain-stocks-2</t>
        </is>
      </c>
    </row>
    <row r="8" ht="15" customHeight="1" s="57">
      <c r="A8" s="61" t="inlineStr">
        <is>
          <t>S4</t>
        </is>
      </c>
      <c r="B8" s="61" t="inlineStr">
        <is>
          <t>Brownfield Ag News - closing futures</t>
        </is>
      </c>
      <c r="C8" s="61" t="inlineStr">
        <is>
          <t>Settles: soybeans, meal, oil (6-Oct-26)</t>
        </is>
      </c>
      <c r="D8" s="61" t="inlineStr">
        <is>
          <t>6-Oct-2026</t>
        </is>
      </c>
      <c r="E8" s="117" t="inlineStr">
        <is>
          <t>https://www.brownfieldagnews.com/market-news/closing-grain-and-livestock-futures-october-6-2026/</t>
        </is>
      </c>
    </row>
    <row r="9" ht="15" customHeight="1" s="57">
      <c r="A9" s="61" t="inlineStr">
        <is>
          <t>S5</t>
        </is>
      </c>
      <c r="B9" s="61" t="inlineStr">
        <is>
          <t>USDA NASS - Fats &amp; Oils (Aug crush 209.6 mb)</t>
        </is>
      </c>
      <c r="C9" s="61" t="inlineStr">
        <is>
          <t>Crush pace</t>
        </is>
      </c>
      <c r="D9" s="61" t="inlineStr">
        <is>
          <t>1-Oct-2026</t>
        </is>
      </c>
      <c r="E9" s="117" t="inlineStr">
        <is>
          <t>https://www.totalfarmmarketing.com/tfm-daily-market-summary-10-2-2026/</t>
        </is>
      </c>
    </row>
    <row r="10" ht="15" customHeight="1" s="57">
      <c r="A10" s="61" t="inlineStr">
        <is>
          <t>S6</t>
        </is>
      </c>
      <c r="B10" s="61" t="inlineStr">
        <is>
          <t>Pro Farmer - October WASDE preview (Reuters poll)</t>
        </is>
      </c>
      <c r="C10" s="61" t="inlineStr">
        <is>
          <t>Trade yield expectations 52.9 (51.4-54.1)</t>
        </is>
      </c>
      <c r="D10" s="61" t="inlineStr">
        <is>
          <t>Oct-2026</t>
        </is>
      </c>
      <c r="E10" s="117" t="inlineStr">
        <is>
          <t>https://profarmer.com/news/agriculture-news/october-wasde-preview-key-metrics-watch-corn-soybeans-wheat-and-cotton</t>
        </is>
      </c>
    </row>
    <row r="11" ht="15" customHeight="1" s="57">
      <c r="A11" s="61" t="inlineStr">
        <is>
          <t>S7</t>
        </is>
      </c>
      <c r="B11" s="61" t="inlineStr">
        <is>
          <t>USDA FAS - Export Sales / Farm Progress</t>
        </is>
      </c>
      <c r="C11" s="61" t="inlineStr">
        <is>
          <t>Commitments +89% y/y; 10.76 MMT outstanding to China</t>
        </is>
      </c>
      <c r="D11" s="61" t="inlineStr">
        <is>
          <t>Oct-2026</t>
        </is>
      </c>
      <c r="E11" s="117" t="inlineStr">
        <is>
          <t>https://www.farmprogress.com/markets-and-quotes/morning-market-review</t>
        </is>
      </c>
    </row>
    <row r="12" ht="15" customHeight="1" s="57">
      <c r="A12" s="61" t="inlineStr">
        <is>
          <t>S8</t>
        </is>
      </c>
      <c r="B12" s="61" t="inlineStr">
        <is>
          <t>CONAB via Nasdaq/Barchart</t>
        </is>
      </c>
      <c r="C12" s="61" t="inlineStr">
        <is>
          <t>Brazil 2026/27 first estimate 181.64 MMT</t>
        </is>
      </c>
      <c r="D12" s="61" t="inlineStr">
        <is>
          <t>Sep-2026</t>
        </is>
      </c>
      <c r="E12" s="117" t="inlineStr">
        <is>
          <t>https://www.nasdaq.com/articles/soybeans-posting-gains-meal-rallies</t>
        </is>
      </c>
    </row>
    <row r="13" ht="15" customHeight="1" s="57">
      <c r="A13" s="61" t="inlineStr">
        <is>
          <t>S9</t>
        </is>
      </c>
      <c r="B13" s="61" t="inlineStr">
        <is>
          <t>USDA conversion factors</t>
        </is>
      </c>
      <c r="C13" s="61" t="inlineStr">
        <is>
          <t>36.7437 bu per MT soybeans</t>
        </is>
      </c>
      <c r="D13" s="61" t="inlineStr">
        <is>
          <t>Standard</t>
        </is>
      </c>
      <c r="E13" s="117" t="inlineStr">
        <is>
          <t>https://www.ers.usda.gov/data-products/oil-crops-yearbook</t>
        </is>
      </c>
    </row>
    <row r="14" ht="15" customHeight="1" s="57">
      <c r="A14" s="61" t="inlineStr">
        <is>
          <t>S10</t>
        </is>
      </c>
      <c r="B14" s="61" t="inlineStr">
        <is>
          <t>CropGPT summary of USDA vs CASDE</t>
        </is>
      </c>
      <c r="C14" s="61" t="inlineStr">
        <is>
          <t>China imports CASDE 95.5 MMT (May-26)</t>
        </is>
      </c>
      <c r="D14" s="61" t="inlineStr">
        <is>
          <t>May-2026</t>
        </is>
      </c>
      <c r="E14" s="117" t="inlineStr">
        <is>
          <t>https://cropgpt.ai/usda-lifts-2026-27-global-soybean-supply-outlook-as-brazil-u-s-argentina-boost-output-exports-up-china-demand-uncertain</t>
        </is>
      </c>
    </row>
    <row r="15" ht="15" customHeight="1" s="57">
      <c r="A15" s="61" t="inlineStr">
        <is>
          <t>S11</t>
        </is>
      </c>
      <c r="B15" s="61" t="inlineStr">
        <is>
          <t>CME Fed Funds / SOFR futures (CQG)</t>
        </is>
      </c>
      <c r="C15" s="61" t="inlineStr">
        <is>
          <t>Financing-rate assumption</t>
        </is>
      </c>
      <c r="D15" s="61" t="inlineStr">
        <is>
          <t>6-Oct-2026</t>
        </is>
      </c>
      <c r="E15" s="117" t="inlineStr">
        <is>
          <t>CQG: ZQEV26 96.1175 / SR1V26 96.105</t>
        </is>
      </c>
    </row>
    <row r="16" ht="15" customHeight="1" s="57">
      <c r="A16" s="61" t="inlineStr">
        <is>
          <t>S12</t>
        </is>
      </c>
      <c r="B16" s="61" t="inlineStr">
        <is>
          <t>USDA ERS - Oil Crops Yearbook (Table 1)</t>
        </is>
      </c>
      <c r="C16" s="61" t="inlineStr">
        <is>
          <t>Historical Sep-1 stocks</t>
        </is>
      </c>
      <c r="D16" s="61" t="inlineStr">
        <is>
          <t>2026 vintage</t>
        </is>
      </c>
      <c r="E16" s="117" t="inlineStr">
        <is>
          <t>https://www.ers.usda.gov/data-products/oil-crops-yearbook</t>
        </is>
      </c>
    </row>
    <row r="17" ht="15" customHeight="1" s="57">
      <c r="A17" s="61" t="inlineStr">
        <is>
          <t>S13</t>
        </is>
      </c>
      <c r="B17" s="61" t="inlineStr">
        <is>
          <t>USDA FAS PSD Online</t>
        </is>
      </c>
      <c r="C17" s="61" t="inlineStr">
        <is>
          <t>VERIFY historical total use &amp; SAFP (approximations)</t>
        </is>
      </c>
      <c r="D17" s="61" t="inlineStr">
        <is>
          <t>-</t>
        </is>
      </c>
      <c r="E17" s="117" t="inlineStr">
        <is>
          <t>https://apps.fas.usda.gov/psdonline/</t>
        </is>
      </c>
    </row>
    <row r="20" ht="15" customHeight="1" s="57">
      <c r="A20" s="60" t="inlineStr">
        <is>
          <t>UPDATE CALENDAR</t>
        </is>
      </c>
    </row>
    <row r="21" ht="15" customHeight="1" s="57">
      <c r="A21" s="70" t="inlineStr">
        <is>
          <t>Release</t>
        </is>
      </c>
      <c r="B21" s="70" t="inlineStr">
        <is>
          <t>Frequency</t>
        </is>
      </c>
      <c r="C21" s="70" t="inlineStr">
        <is>
          <t>Updates</t>
        </is>
      </c>
      <c r="D21" s="70" t="inlineStr">
        <is>
          <t>Next (approx.)</t>
        </is>
      </c>
      <c r="E21" s="70" t="n"/>
    </row>
    <row r="22" ht="15" customHeight="1" s="57">
      <c r="A22" s="61" t="inlineStr">
        <is>
          <t>USDA WASDE / Crop Production</t>
        </is>
      </c>
      <c r="B22" s="61" t="inlineStr">
        <is>
          <t>Monthly</t>
        </is>
      </c>
      <c r="C22" s="61" t="inlineStr">
        <is>
          <t>US_BS cols, World_BS USDA blocks</t>
        </is>
      </c>
      <c r="D22" s="61" t="inlineStr">
        <is>
          <t>10-Nov-2026</t>
        </is>
      </c>
    </row>
    <row r="23" ht="15" customHeight="1" s="57">
      <c r="A23" s="61" t="inlineStr">
        <is>
          <t>USDA Export Sales</t>
        </is>
      </c>
      <c r="B23" s="61" t="inlineStr">
        <is>
          <t>Weekly (Thu)</t>
        </is>
      </c>
      <c r="C23" s="61" t="inlineStr">
        <is>
          <t>Inputs: Exports (pace vs USDA)</t>
        </is>
      </c>
      <c r="D23" s="61" t="inlineStr">
        <is>
          <t>Every Thursday</t>
        </is>
      </c>
    </row>
    <row r="24" ht="15" customHeight="1" s="57">
      <c r="A24" s="61" t="inlineStr">
        <is>
          <t>NOPA crush</t>
        </is>
      </c>
      <c r="B24" s="61" t="inlineStr">
        <is>
          <t>Monthly (~15th)</t>
        </is>
      </c>
      <c r="C24" s="61" t="inlineStr">
        <is>
          <t>Inputs: Crush</t>
        </is>
      </c>
      <c r="D24" s="61" t="inlineStr">
        <is>
          <t>15-Oct-2026</t>
        </is>
      </c>
    </row>
    <row r="25" ht="15" customHeight="1" s="57">
      <c r="A25" s="61" t="inlineStr">
        <is>
          <t>USDA Crop Progress</t>
        </is>
      </c>
      <c r="B25" s="61" t="inlineStr">
        <is>
          <t>Weekly (Mon)</t>
        </is>
      </c>
      <c r="C25" s="61" t="inlineStr">
        <is>
          <t>Yield model condition adj.</t>
        </is>
      </c>
      <c r="D25" s="61" t="inlineStr">
        <is>
          <t>Every Monday</t>
        </is>
      </c>
    </row>
    <row r="26" ht="15" customHeight="1" s="57">
      <c r="A26" s="61" t="inlineStr">
        <is>
          <t>USDA Grain Stocks</t>
        </is>
      </c>
      <c r="B26" s="61" t="inlineStr">
        <is>
          <t>Quarterly</t>
        </is>
      </c>
      <c r="C26" s="61" t="inlineStr">
        <is>
          <t>Beginning stocks / residual check</t>
        </is>
      </c>
      <c r="D26" s="61" t="inlineStr">
        <is>
          <t>Jan-2027</t>
        </is>
      </c>
    </row>
    <row r="27" ht="15" customHeight="1" s="57">
      <c r="A27" s="61" t="inlineStr">
        <is>
          <t>CONAB (Brazil)</t>
        </is>
      </c>
      <c r="B27" s="61" t="inlineStr">
        <is>
          <t>Monthly</t>
        </is>
      </c>
      <c r="C27" s="61" t="inlineStr">
        <is>
          <t>Inputs: Brazil production</t>
        </is>
      </c>
      <c r="D27" s="61" t="inlineStr">
        <is>
          <t>Mid-month</t>
        </is>
      </c>
    </row>
    <row r="28" ht="15" customHeight="1" s="57">
      <c r="A28" s="61" t="inlineStr">
        <is>
          <t>CFTC Commitments of Traders</t>
        </is>
      </c>
      <c r="B28" s="61" t="inlineStr">
        <is>
          <t>Weekly (Fri)</t>
        </is>
      </c>
      <c r="C28" s="61" t="inlineStr">
        <is>
          <t>Positioning overlay (not in model)</t>
        </is>
      </c>
      <c r="D28" s="61" t="inlineStr">
        <is>
          <t>Every Friday</t>
        </is>
      </c>
    </row>
    <row r="29" ht="15" customHeight="1" s="57">
      <c r="A29" s="61" t="inlineStr">
        <is>
          <t>CQG prices</t>
        </is>
      </c>
      <c r="B29" s="61" t="inlineStr">
        <is>
          <t>Daily</t>
        </is>
      </c>
      <c r="C29" s="61" t="inlineStr">
        <is>
          <t>Inputs: market block</t>
        </is>
      </c>
      <c r="D29" s="61" t="inlineStr">
        <is>
          <t>Daily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2026-10-13T22:02:28Z</dcterms:created>
  <dcterms:modified xmlns:dcterms="http://purl.org/dc/terms/" xmlns:xsi="http://www.w3.org/2001/XMLSchema-instance" xsi:type="dcterms:W3CDTF">2026-10-20T09:53:45Z</dcterms:modified>
  <cp:revision>0</cp:revision>
</cp:coreProperties>
</file>